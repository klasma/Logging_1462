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46224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46224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46224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46224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46224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46224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46224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46224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6</v>
      </c>
      <c r="V9" s="2" t="inlineStr">
        <is>
          <t>Sårläka
Älg
Västlig hakmossa
Vätteros
Spillkråka
Revlummer</t>
        </is>
      </c>
      <c r="W9">
        <f>HYPERLINK("https://klasma.github.io/Logging_1462/artfynd/A 2437-2026 artfynd.xlsx", "A 2437-2026")</f>
        <v/>
      </c>
      <c r="X9">
        <f>HYPERLINK("https://klasma.github.io/Logging_1462/kartor/A 2437-2026 karta.png", "A 2437-2026")</f>
        <v/>
      </c>
      <c r="Y9">
        <f>HYPERLINK("https://klasma.github.io/Logging_1462/kartor_geotiff/A 2437-2026 georefererad karta.tif", "A 2437-2026")</f>
        <v/>
      </c>
      <c r="AA9">
        <f>HYPERLINK("https://klasma.github.io/Logging_1462/klagomål/A 2437-2026 FSC-klagomål.docx", "A 2437-2026")</f>
        <v/>
      </c>
      <c r="AB9">
        <f>HYPERLINK("https://klasma.github.io/Logging_1462/klagomålsmail/A 2437-2026 FSC-klagomål mail.docx", "A 2437-2026")</f>
        <v/>
      </c>
      <c r="AC9">
        <f>HYPERLINK("https://klasma.github.io/Logging_1462/tillsyn/A 2437-2026 tillsynsbegäran.docx", "A 2437-2026")</f>
        <v/>
      </c>
      <c r="AD9">
        <f>HYPERLINK("https://klasma.github.io/Logging_1462/tillsynsmail/A 2437-2026 tillsynsbegäran mail.docx", "A 2437-2026")</f>
        <v/>
      </c>
      <c r="AE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46224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t="n">
        <v>2</v>
      </c>
      <c r="V10" s="2" t="inlineStr">
        <is>
          <t>Klippfrullania
Stor revmossa
Västlig hakmossa
Spillkråka
Revlummer</t>
        </is>
      </c>
      <c r="W10">
        <f>HYPERLINK("https://klasma.github.io/Logging_1462/artfynd/A 4017-2026 artfynd.xlsx", "A 4017-2026")</f>
        <v/>
      </c>
      <c r="X10">
        <f>HYPERLINK("https://klasma.github.io/Logging_1462/kartor/A 4017-2026 karta.png", "A 4017-2026")</f>
        <v/>
      </c>
      <c r="Y10">
        <f>HYPERLINK("https://klasma.github.io/Logging_1462/kartor_geotiff/A 4017-2026 georefererad karta.tif", "A 4017-2026")</f>
        <v/>
      </c>
      <c r="AA10">
        <f>HYPERLINK("https://klasma.github.io/Logging_1462/klagomål/A 4017-2026 FSC-klagomål.docx", "A 4017-2026")</f>
        <v/>
      </c>
      <c r="AB10">
        <f>HYPERLINK("https://klasma.github.io/Logging_1462/klagomålsmail/A 4017-2026 FSC-klagomål mail.docx", "A 4017-2026")</f>
        <v/>
      </c>
      <c r="AC10">
        <f>HYPERLINK("https://klasma.github.io/Logging_1462/tillsyn/A 4017-2026 tillsynsbegäran.docx", "A 4017-2026")</f>
        <v/>
      </c>
      <c r="AD10">
        <f>HYPERLINK("https://klasma.github.io/Logging_1462/tillsynsmail/A 4017-2026 tillsynsbegäran mail.docx", "A 4017-2026")</f>
        <v/>
      </c>
      <c r="AE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46224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43771-2023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45187</v>
      </c>
      <c r="E12" s="1" t="n">
        <v>46224</v>
      </c>
      <c r="F12" t="inlineStr">
        <is>
          <t>VÄSTRA GÖTALANDS LÄN</t>
        </is>
      </c>
      <c r="G12" t="inlineStr">
        <is>
          <t>LILLA EDET</t>
        </is>
      </c>
      <c r="I12" t="n">
        <v>1.7</v>
      </c>
      <c r="J12" t="n">
        <v>1</v>
      </c>
      <c r="K12" t="n">
        <v>1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Ask
Slåtterfibbla
Vätteros
Blåsippa</t>
        </is>
      </c>
      <c r="W12">
        <f>HYPERLINK("https://klasma.github.io/Logging_1462/artfynd/A 43771-2023 artfynd.xlsx", "A 43771-2023")</f>
        <v/>
      </c>
      <c r="X12">
        <f>HYPERLINK("https://klasma.github.io/Logging_1462/kartor/A 43771-2023 karta.png", "A 43771-2023")</f>
        <v/>
      </c>
      <c r="Y12">
        <f>HYPERLINK("https://klasma.github.io/Logging_1462/kartor_geotiff/A 43771-2023 georefererad karta.tif", "A 43771-2023")</f>
        <v/>
      </c>
      <c r="AA12">
        <f>HYPERLINK("https://klasma.github.io/Logging_1462/klagomål/A 43771-2023 FSC-klagomål.docx", "A 43771-2023")</f>
        <v/>
      </c>
      <c r="AB12">
        <f>HYPERLINK("https://klasma.github.io/Logging_1462/klagomålsmail/A 43771-2023 FSC-klagomål mail.docx", "A 43771-2023")</f>
        <v/>
      </c>
      <c r="AC12">
        <f>HYPERLINK("https://klasma.github.io/Logging_1462/tillsyn/A 43771-2023 tillsynsbegäran.docx", "A 43771-2023")</f>
        <v/>
      </c>
      <c r="AD12">
        <f>HYPERLINK("https://klasma.github.io/Logging_1462/tillsynsmail/A 43771-2023 tillsynsbegäran mail.docx", "A 43771-2023")</f>
        <v/>
      </c>
    </row>
    <row r="13" ht="15" customHeight="1">
      <c r="A13" t="inlineStr">
        <is>
          <t>A 28512-2025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45819</v>
      </c>
      <c r="E13" s="1" t="n">
        <v>46224</v>
      </c>
      <c r="F13" t="inlineStr">
        <is>
          <t>VÄSTRA GÖTALANDS LÄN</t>
        </is>
      </c>
      <c r="G13" t="inlineStr">
        <is>
          <t>LILLA EDET</t>
        </is>
      </c>
      <c r="I13" t="n">
        <v>10.9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19</v>
      </c>
      <c r="U13" t="n">
        <v>19</v>
      </c>
      <c r="V13" s="2" t="inlineStr">
        <is>
          <t>Blåmossa
Västlig hakmossa
Spillkråka
Tjäder</t>
        </is>
      </c>
      <c r="W13">
        <f>HYPERLINK("https://klasma.github.io/Logging_1462/artfynd/A 28512-2025 artfynd.xlsx", "A 28512-2025")</f>
        <v/>
      </c>
      <c r="X13">
        <f>HYPERLINK("https://klasma.github.io/Logging_1462/kartor/A 28512-2025 karta.png", "A 28512-2025")</f>
        <v/>
      </c>
      <c r="Y13">
        <f>HYPERLINK("https://klasma.github.io/Logging_1462/kartor_geotiff/A 28512-2025 georefererad karta.tif", "A 28512-2025")</f>
        <v/>
      </c>
      <c r="AA13">
        <f>HYPERLINK("https://klasma.github.io/Logging_1462/klagomål/A 28512-2025 FSC-klagomål.docx", "A 28512-2025")</f>
        <v/>
      </c>
      <c r="AB13">
        <f>HYPERLINK("https://klasma.github.io/Logging_1462/klagomålsmail/A 28512-2025 FSC-klagomål mail.docx", "A 28512-2025")</f>
        <v/>
      </c>
      <c r="AC13">
        <f>HYPERLINK("https://klasma.github.io/Logging_1462/tillsyn/A 28512-2025 tillsynsbegäran.docx", "A 28512-2025")</f>
        <v/>
      </c>
      <c r="AD13">
        <f>HYPERLINK("https://klasma.github.io/Logging_1462/tillsynsmail/A 28512-2025 tillsynsbegäran mail.docx", "A 28512-2025")</f>
        <v/>
      </c>
      <c r="AE13">
        <f>HYPERLINK("https://klasma.github.io/Logging_1462/fåglar/A 28512-2025 prioriterade fågelarter.docx", "A 28512-2025")</f>
        <v/>
      </c>
    </row>
    <row r="14" ht="15" customHeight="1">
      <c r="A14" t="inlineStr">
        <is>
          <t>A 23563-2023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46224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7</v>
      </c>
      <c r="V14" s="2" t="inlineStr">
        <is>
          <t>Nordfladdermus
Dvärgpipistrell
Vattenfladdermus
Grönvit nattviol</t>
        </is>
      </c>
      <c r="W14">
        <f>HYPERLINK("https://klasma.github.io/Logging_1462/artfynd/A 23563-2023 artfynd.xlsx", "A 23563-2023")</f>
        <v/>
      </c>
      <c r="X14">
        <f>HYPERLINK("https://klasma.github.io/Logging_1462/kartor/A 23563-2023 karta.png", "A 23563-2023")</f>
        <v/>
      </c>
      <c r="Y14">
        <f>HYPERLINK("https://klasma.github.io/Logging_1462/kartor_geotiff/A 23563-2023 georefererad karta.tif", "A 23563-2023")</f>
        <v/>
      </c>
      <c r="AA14">
        <f>HYPERLINK("https://klasma.github.io/Logging_1462/klagomål/A 23563-2023 FSC-klagomål.docx", "A 23563-2023")</f>
        <v/>
      </c>
      <c r="AB14">
        <f>HYPERLINK("https://klasma.github.io/Logging_1462/klagomålsmail/A 23563-2023 FSC-klagomål mail.docx", "A 23563-2023")</f>
        <v/>
      </c>
      <c r="AC14">
        <f>HYPERLINK("https://klasma.github.io/Logging_1462/tillsyn/A 23563-2023 tillsynsbegäran.docx", "A 23563-2023")</f>
        <v/>
      </c>
      <c r="AD14">
        <f>HYPERLINK("https://klasma.github.io/Logging_1462/tillsynsmail/A 23563-2023 tillsynsbegäran mail.docx", "A 23563-2023")</f>
        <v/>
      </c>
    </row>
    <row r="15" ht="15" customHeight="1">
      <c r="A15" t="inlineStr">
        <is>
          <t>A 24290-2026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46169</v>
      </c>
      <c r="E15" s="1" t="n">
        <v>46224</v>
      </c>
      <c r="F15" t="inlineStr">
        <is>
          <t>VÄSTRA GÖTALANDS LÄN</t>
        </is>
      </c>
      <c r="G15" t="inlineStr">
        <is>
          <t>LILLA EDET</t>
        </is>
      </c>
      <c r="I15" t="n">
        <v>3.6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Blanksvart trämyra
Grönpyrola
Västlig hakmossa
Spillkråka</t>
        </is>
      </c>
      <c r="W15">
        <f>HYPERLINK("https://klasma.github.io/Logging_1462/artfynd/A 24290-2026 artfynd.xlsx", "A 24290-2026")</f>
        <v/>
      </c>
      <c r="X15">
        <f>HYPERLINK("https://klasma.github.io/Logging_1462/kartor/A 24290-2026 karta.png", "A 24290-2026")</f>
        <v/>
      </c>
      <c r="Y15">
        <f>HYPERLINK("https://klasma.github.io/Logging_1462/kartor_geotiff/A 24290-2026 georefererad karta.tif", "A 24290-2026")</f>
        <v/>
      </c>
      <c r="AA15">
        <f>HYPERLINK("https://klasma.github.io/Logging_1462/klagomål/A 24290-2026 FSC-klagomål.docx", "A 24290-2026")</f>
        <v/>
      </c>
      <c r="AB15">
        <f>HYPERLINK("https://klasma.github.io/Logging_1462/klagomålsmail/A 24290-2026 FSC-klagomål mail.docx", "A 24290-2026")</f>
        <v/>
      </c>
      <c r="AC15">
        <f>HYPERLINK("https://klasma.github.io/Logging_1462/tillsyn/A 24290-2026 tillsynsbegäran.docx", "A 24290-2026")</f>
        <v/>
      </c>
      <c r="AD15">
        <f>HYPERLINK("https://klasma.github.io/Logging_1462/tillsynsmail/A 24290-2026 tillsynsbegäran mail.docx", "A 24290-2026")</f>
        <v/>
      </c>
      <c r="AE15">
        <f>HYPERLINK("https://klasma.github.io/Logging_1462/fåglar/A 24290-2026 prioriterade fågelarter.docx", "A 24290-2026")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46224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8</v>
      </c>
      <c r="U16" t="n">
        <v>6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46224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Slåttergubbe
Almsnabbvinge
Granspira</t>
        </is>
      </c>
      <c r="W17">
        <f>HYPERLINK("https://klasma.github.io/Logging_1462/artfynd/A 17376-2026 artfynd.xlsx", "A 17376-2026")</f>
        <v/>
      </c>
      <c r="X17">
        <f>HYPERLINK("https://klasma.github.io/Logging_1462/kartor/A 17376-2026 karta.png", "A 17376-2026")</f>
        <v/>
      </c>
      <c r="Y17">
        <f>HYPERLINK("https://klasma.github.io/Logging_1462/kartor_geotiff/A 17376-2026 georefererad karta.tif", "A 17376-2026")</f>
        <v/>
      </c>
      <c r="AA17">
        <f>HYPERLINK("https://klasma.github.io/Logging_1462/klagomål/A 17376-2026 FSC-klagomål.docx", "A 17376-2026")</f>
        <v/>
      </c>
      <c r="AB17">
        <f>HYPERLINK("https://klasma.github.io/Logging_1462/klagomålsmail/A 17376-2026 FSC-klagomål mail.docx", "A 17376-2026")</f>
        <v/>
      </c>
      <c r="AC17">
        <f>HYPERLINK("https://klasma.github.io/Logging_1462/tillsyn/A 17376-2026 tillsynsbegäran.docx", "A 17376-2026")</f>
        <v/>
      </c>
      <c r="AD17">
        <f>HYPERLINK("https://klasma.github.io/Logging_1462/tillsynsmail/A 17376-2026 tillsynsbegäran mail.docx", "A 17376-2026")</f>
        <v/>
      </c>
    </row>
    <row r="18" ht="15" customHeight="1">
      <c r="A18" t="inlineStr">
        <is>
          <t>A 28021-2023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45098</v>
      </c>
      <c r="E18" s="1" t="n">
        <v>46224</v>
      </c>
      <c r="F18" t="inlineStr">
        <is>
          <t>VÄSTRA GÖTALANDS LÄN</t>
        </is>
      </c>
      <c r="G18" t="inlineStr">
        <is>
          <t>LILLA EDET</t>
        </is>
      </c>
      <c r="I18" t="n">
        <v>1.5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Stor revmossa
Nattskärra
Törnskata</t>
        </is>
      </c>
      <c r="W18">
        <f>HYPERLINK("https://klasma.github.io/Logging_1462/artfynd/A 28021-2023 artfynd.xlsx", "A 28021-2023")</f>
        <v/>
      </c>
      <c r="X18">
        <f>HYPERLINK("https://klasma.github.io/Logging_1462/kartor/A 28021-2023 karta.png", "A 28021-2023")</f>
        <v/>
      </c>
      <c r="Y18">
        <f>HYPERLINK("https://klasma.github.io/Logging_1462/kartor_geotiff/A 28021-2023 georefererad karta.tif", "A 28021-2023")</f>
        <v/>
      </c>
      <c r="AA18">
        <f>HYPERLINK("https://klasma.github.io/Logging_1462/klagomål/A 28021-2023 FSC-klagomål.docx", "A 28021-2023")</f>
        <v/>
      </c>
      <c r="AB18">
        <f>HYPERLINK("https://klasma.github.io/Logging_1462/klagomålsmail/A 28021-2023 FSC-klagomål mail.docx", "A 28021-2023")</f>
        <v/>
      </c>
      <c r="AC18">
        <f>HYPERLINK("https://klasma.github.io/Logging_1462/tillsyn/A 28021-2023 tillsynsbegäran.docx", "A 28021-2023")</f>
        <v/>
      </c>
      <c r="AD18">
        <f>HYPERLINK("https://klasma.github.io/Logging_1462/tillsynsmail/A 28021-2023 tillsynsbegäran mail.docx", "A 28021-2023")</f>
        <v/>
      </c>
      <c r="AE18">
        <f>HYPERLINK("https://klasma.github.io/Logging_1462/fåglar/A 28021-2023 prioriterade fågelarter.docx", "A 28021-2023")</f>
        <v/>
      </c>
    </row>
    <row r="19" ht="15" customHeight="1">
      <c r="A19" t="inlineStr">
        <is>
          <t>A 23559-2023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46224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8</v>
      </c>
      <c r="U19" t="n">
        <v>8</v>
      </c>
      <c r="V19" s="2" t="inlineStr">
        <is>
          <t>Flodpärlmussla
Spillkråka
Revlummer</t>
        </is>
      </c>
      <c r="W19">
        <f>HYPERLINK("https://klasma.github.io/Logging_1462/artfynd/A 23559-2023 artfynd.xlsx", "A 23559-2023")</f>
        <v/>
      </c>
      <c r="X19">
        <f>HYPERLINK("https://klasma.github.io/Logging_1462/kartor/A 23559-2023 karta.png", "A 23559-2023")</f>
        <v/>
      </c>
      <c r="Y19">
        <f>HYPERLINK("https://klasma.github.io/Logging_1462/kartor_geotiff/A 23559-2023 georefererad karta.tif", "A 23559-2023")</f>
        <v/>
      </c>
      <c r="AA19">
        <f>HYPERLINK("https://klasma.github.io/Logging_1462/klagomål/A 23559-2023 FSC-klagomål.docx", "A 23559-2023")</f>
        <v/>
      </c>
      <c r="AB19">
        <f>HYPERLINK("https://klasma.github.io/Logging_1462/klagomålsmail/A 23559-2023 FSC-klagomål mail.docx", "A 23559-2023")</f>
        <v/>
      </c>
      <c r="AC19">
        <f>HYPERLINK("https://klasma.github.io/Logging_1462/tillsyn/A 23559-2023 tillsynsbegäran.docx", "A 23559-2023")</f>
        <v/>
      </c>
      <c r="AD19">
        <f>HYPERLINK("https://klasma.github.io/Logging_1462/tillsynsmail/A 23559-2023 tillsynsbegäran mail.docx", "A 23559-2023")</f>
        <v/>
      </c>
      <c r="AE19">
        <f>HYPERLINK("https://klasma.github.io/Logging_1462/fåglar/A 23559-2023 prioriterade fågelarter.docx", "A 23559-2023")</f>
        <v/>
      </c>
    </row>
    <row r="20" ht="15" customHeight="1">
      <c r="A20" t="inlineStr">
        <is>
          <t>A 5834-2026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46224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9.9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9</v>
      </c>
      <c r="U20" t="n">
        <v>8</v>
      </c>
      <c r="V20" s="2" t="inlineStr">
        <is>
          <t>Knärot
Havstulpanlav
Tjäder</t>
        </is>
      </c>
      <c r="W20">
        <f>HYPERLINK("https://klasma.github.io/Logging_1462/artfynd/A 5834-2026 artfynd.xlsx", "A 5834-2026")</f>
        <v/>
      </c>
      <c r="X20">
        <f>HYPERLINK("https://klasma.github.io/Logging_1462/kartor/A 5834-2026 karta.png", "A 5834-2026")</f>
        <v/>
      </c>
      <c r="Y20">
        <f>HYPERLINK("https://klasma.github.io/Logging_1462/kartor_geotiff/A 5834-2026 georefererad karta.tif", "A 5834-2026")</f>
        <v/>
      </c>
      <c r="Z20">
        <f>HYPERLINK("https://klasma.github.io/Logging_1462/knärot/A 5834-2026 karta knärot.png", "A 5834-2026")</f>
        <v/>
      </c>
      <c r="AA20">
        <f>HYPERLINK("https://klasma.github.io/Logging_1462/klagomål/A 5834-2026 FSC-klagomål.docx", "A 5834-2026")</f>
        <v/>
      </c>
      <c r="AB20">
        <f>HYPERLINK("https://klasma.github.io/Logging_1462/klagomålsmail/A 5834-2026 FSC-klagomål mail.docx", "A 5834-2026")</f>
        <v/>
      </c>
      <c r="AC20">
        <f>HYPERLINK("https://klasma.github.io/Logging_1462/tillsyn/A 5834-2026 tillsynsbegäran.docx", "A 5834-2026")</f>
        <v/>
      </c>
      <c r="AD20">
        <f>HYPERLINK("https://klasma.github.io/Logging_1462/tillsynsmail/A 5834-2026 tillsynsbegäran mail.docx", "A 5834-2026")</f>
        <v/>
      </c>
      <c r="AE20">
        <f>HYPERLINK("https://klasma.github.io/Logging_1462/fåglar/A 5834-2026 prioriterade fågelarter.docx", "A 5834-2026")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46224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23497-2023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46224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Stor revmossa
Spillkråka</t>
        </is>
      </c>
      <c r="W22">
        <f>HYPERLINK("https://klasma.github.io/Logging_1462/artfynd/A 23497-2023 artfynd.xlsx", "A 23497-2023")</f>
        <v/>
      </c>
      <c r="X22">
        <f>HYPERLINK("https://klasma.github.io/Logging_1462/kartor/A 23497-2023 karta.png", "A 23497-2023")</f>
        <v/>
      </c>
      <c r="Y22">
        <f>HYPERLINK("https://klasma.github.io/Logging_1462/kartor_geotiff/A 23497-2023 georefererad karta.tif", "A 23497-2023")</f>
        <v/>
      </c>
      <c r="AA22">
        <f>HYPERLINK("https://klasma.github.io/Logging_1462/klagomål/A 23497-2023 FSC-klagomål.docx", "A 23497-2023")</f>
        <v/>
      </c>
      <c r="AB22">
        <f>HYPERLINK("https://klasma.github.io/Logging_1462/klagomålsmail/A 23497-2023 FSC-klagomål mail.docx", "A 23497-2023")</f>
        <v/>
      </c>
      <c r="AC22">
        <f>HYPERLINK("https://klasma.github.io/Logging_1462/tillsyn/A 23497-2023 tillsynsbegäran.docx", "A 23497-2023")</f>
        <v/>
      </c>
      <c r="AD22">
        <f>HYPERLINK("https://klasma.github.io/Logging_1462/tillsynsmail/A 23497-2023 tillsynsbegäran mail.docx", "A 23497-2023")</f>
        <v/>
      </c>
      <c r="AE22">
        <f>HYPERLINK("https://klasma.github.io/Logging_1462/fåglar/A 23497-2023 prioriterade fågelarter.docx", "A 23497-2023")</f>
        <v/>
      </c>
    </row>
    <row r="23" ht="15" customHeight="1">
      <c r="A23" t="inlineStr">
        <is>
          <t>A 23494-2023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46224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Spillkråka
Revlummer</t>
        </is>
      </c>
      <c r="W23">
        <f>HYPERLINK("https://klasma.github.io/Logging_1462/artfynd/A 23494-2023 artfynd.xlsx", "A 23494-2023")</f>
        <v/>
      </c>
      <c r="X23">
        <f>HYPERLINK("https://klasma.github.io/Logging_1462/kartor/A 23494-2023 karta.png", "A 23494-2023")</f>
        <v/>
      </c>
      <c r="Y23">
        <f>HYPERLINK("https://klasma.github.io/Logging_1462/kartor_geotiff/A 23494-2023 georefererad karta.tif", "A 23494-2023")</f>
        <v/>
      </c>
      <c r="AA23">
        <f>HYPERLINK("https://klasma.github.io/Logging_1462/klagomål/A 23494-2023 FSC-klagomål.docx", "A 23494-2023")</f>
        <v/>
      </c>
      <c r="AB23">
        <f>HYPERLINK("https://klasma.github.io/Logging_1462/klagomålsmail/A 23494-2023 FSC-klagomål mail.docx", "A 23494-2023")</f>
        <v/>
      </c>
      <c r="AC23">
        <f>HYPERLINK("https://klasma.github.io/Logging_1462/tillsyn/A 23494-2023 tillsynsbegäran.docx", "A 23494-2023")</f>
        <v/>
      </c>
      <c r="AD23">
        <f>HYPERLINK("https://klasma.github.io/Logging_1462/tillsynsmail/A 23494-2023 tillsynsbegäran mail.docx", "A 23494-2023")</f>
        <v/>
      </c>
      <c r="AE23">
        <f>HYPERLINK("https://klasma.github.io/Logging_1462/fåglar/A 23494-2023 prioriterade fågelarter.docx", "A 23494-2023")</f>
        <v/>
      </c>
    </row>
    <row r="24" ht="15" customHeight="1">
      <c r="A24" t="inlineStr">
        <is>
          <t>A 13699-2024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46224</v>
      </c>
      <c r="F24" t="inlineStr">
        <is>
          <t>VÄSTRA GÖTALANDS LÄN</t>
        </is>
      </c>
      <c r="G24" t="inlineStr">
        <is>
          <t>LILLA EDET</t>
        </is>
      </c>
      <c r="I24" t="n">
        <v>6.6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7</v>
      </c>
      <c r="U24" t="n">
        <v>0</v>
      </c>
      <c r="V24" s="2" t="inlineStr">
        <is>
          <t>Västlig hakmossa
Spillkråka</t>
        </is>
      </c>
      <c r="W24">
        <f>HYPERLINK("https://klasma.github.io/Logging_1462/artfynd/A 13699-2024 artfynd.xlsx", "A 13699-2024")</f>
        <v/>
      </c>
      <c r="X24">
        <f>HYPERLINK("https://klasma.github.io/Logging_1462/kartor/A 13699-2024 karta.png", "A 13699-2024")</f>
        <v/>
      </c>
      <c r="Y24">
        <f>HYPERLINK("https://klasma.github.io/Logging_1462/kartor_geotiff/A 13699-2024 georefererad karta.tif", "A 13699-2024")</f>
        <v/>
      </c>
      <c r="AA24">
        <f>HYPERLINK("https://klasma.github.io/Logging_1462/klagomål/A 13699-2024 FSC-klagomål.docx", "A 13699-2024")</f>
        <v/>
      </c>
      <c r="AB24">
        <f>HYPERLINK("https://klasma.github.io/Logging_1462/klagomålsmail/A 13699-2024 FSC-klagomål mail.docx", "A 13699-2024")</f>
        <v/>
      </c>
      <c r="AC24">
        <f>HYPERLINK("https://klasma.github.io/Logging_1462/tillsyn/A 13699-2024 tillsynsbegäran.docx", "A 13699-2024")</f>
        <v/>
      </c>
      <c r="AD24">
        <f>HYPERLINK("https://klasma.github.io/Logging_1462/tillsynsmail/A 13699-2024 tillsynsbegäran mail.docx", "A 13699-2024")</f>
        <v/>
      </c>
      <c r="AE24">
        <f>HYPERLINK("https://klasma.github.io/Logging_1462/fåglar/A 13699-2024 prioriterade fågelarter.docx", "A 13699-2024")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46224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46224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Kattfotslav</t>
        </is>
      </c>
      <c r="W26">
        <f>HYPERLINK("https://klasma.github.io/Logging_1462/artfynd/A 49384-2023 artfynd.xlsx", "A 49384-2023")</f>
        <v/>
      </c>
      <c r="X26">
        <f>HYPERLINK("https://klasma.github.io/Logging_1462/kartor/A 49384-2023 karta.png", "A 49384-2023")</f>
        <v/>
      </c>
      <c r="Y26">
        <f>HYPERLINK("https://klasma.github.io/Logging_1462/kartor_geotiff/A 49384-2023 georefererad karta.tif", "A 49384-2023")</f>
        <v/>
      </c>
      <c r="AA26">
        <f>HYPERLINK("https://klasma.github.io/Logging_1462/klagomål/A 49384-2023 FSC-klagomål.docx", "A 49384-2023")</f>
        <v/>
      </c>
      <c r="AB26">
        <f>HYPERLINK("https://klasma.github.io/Logging_1462/klagomålsmail/A 49384-2023 FSC-klagomål mail.docx", "A 49384-2023")</f>
        <v/>
      </c>
      <c r="AC26">
        <f>HYPERLINK("https://klasma.github.io/Logging_1462/tillsyn/A 49384-2023 tillsynsbegäran.docx", "A 49384-2023")</f>
        <v/>
      </c>
      <c r="AD26">
        <f>HYPERLINK("https://klasma.github.io/Logging_1462/tillsynsmail/A 49384-2023 tillsynsbegäran mail.docx", "A 49384-2023")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46224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30273-2022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44759</v>
      </c>
      <c r="E28" s="1" t="n">
        <v>46224</v>
      </c>
      <c r="F28" t="inlineStr">
        <is>
          <t>VÄSTRA GÖTALANDS LÄN</t>
        </is>
      </c>
      <c r="G28" t="inlineStr">
        <is>
          <t>LILLA EDET</t>
        </is>
      </c>
      <c r="I28" t="n">
        <v>12.5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Ärtsångare</t>
        </is>
      </c>
      <c r="W28">
        <f>HYPERLINK("https://klasma.github.io/Logging_1462/artfynd/A 30273-2022 artfynd.xlsx", "A 30273-2022")</f>
        <v/>
      </c>
      <c r="X28">
        <f>HYPERLINK("https://klasma.github.io/Logging_1462/kartor/A 30273-2022 karta.png", "A 30273-2022")</f>
        <v/>
      </c>
      <c r="Y28">
        <f>HYPERLINK("https://klasma.github.io/Logging_1462/kartor_geotiff/A 30273-2022 georefererad karta.tif", "A 30273-2022")</f>
        <v/>
      </c>
      <c r="AA28">
        <f>HYPERLINK("https://klasma.github.io/Logging_1462/klagomål/A 30273-2022 FSC-klagomål.docx", "A 30273-2022")</f>
        <v/>
      </c>
      <c r="AB28">
        <f>HYPERLINK("https://klasma.github.io/Logging_1462/klagomålsmail/A 30273-2022 FSC-klagomål mail.docx", "A 30273-2022")</f>
        <v/>
      </c>
      <c r="AC28">
        <f>HYPERLINK("https://klasma.github.io/Logging_1462/tillsyn/A 30273-2022 tillsynsbegäran.docx", "A 30273-2022")</f>
        <v/>
      </c>
      <c r="AD28">
        <f>HYPERLINK("https://klasma.github.io/Logging_1462/tillsynsmail/A 30273-2022 tillsynsbegäran mail.docx", "A 30273-2022")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46224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46224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38522-2024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46224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5.3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Spillkråka</t>
        </is>
      </c>
      <c r="W31">
        <f>HYPERLINK("https://klasma.github.io/Logging_1462/artfynd/A 38522-2024 artfynd.xlsx", "A 38522-2024")</f>
        <v/>
      </c>
      <c r="X31">
        <f>HYPERLINK("https://klasma.github.io/Logging_1462/kartor/A 38522-2024 karta.png", "A 38522-2024")</f>
        <v/>
      </c>
      <c r="Y31">
        <f>HYPERLINK("https://klasma.github.io/Logging_1462/kartor_geotiff/A 38522-2024 georefererad karta.tif", "A 38522-2024")</f>
        <v/>
      </c>
      <c r="AA31">
        <f>HYPERLINK("https://klasma.github.io/Logging_1462/klagomål/A 38522-2024 FSC-klagomål.docx", "A 38522-2024")</f>
        <v/>
      </c>
      <c r="AB31">
        <f>HYPERLINK("https://klasma.github.io/Logging_1462/klagomålsmail/A 38522-2024 FSC-klagomål mail.docx", "A 38522-2024")</f>
        <v/>
      </c>
      <c r="AC31">
        <f>HYPERLINK("https://klasma.github.io/Logging_1462/tillsyn/A 38522-2024 tillsynsbegäran.docx", "A 38522-2024")</f>
        <v/>
      </c>
      <c r="AD31">
        <f>HYPERLINK("https://klasma.github.io/Logging_1462/tillsynsmail/A 38522-2024 tillsynsbegäran mail.docx", "A 38522-2024")</f>
        <v/>
      </c>
      <c r="AE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46224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46224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46224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46224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46224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46224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46224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46224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46224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46224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46224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46224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46224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46224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46224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46224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46224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44811</v>
      </c>
      <c r="E49" s="1" t="n">
        <v>46224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44565</v>
      </c>
      <c r="E50" s="1" t="n">
        <v>46224</v>
      </c>
      <c r="F50" t="inlineStr">
        <is>
          <t>VÄSTRA GÖTALANDS LÄN</t>
        </is>
      </c>
      <c r="G50" t="inlineStr">
        <is>
          <t>LILLA EDET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46224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58750-2021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46224</v>
      </c>
      <c r="F52" t="inlineStr">
        <is>
          <t>VÄSTRA GÖTALANDS LÄN</t>
        </is>
      </c>
      <c r="G52" t="inlineStr">
        <is>
          <t>LILLA EDET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12234-2024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45378</v>
      </c>
      <c r="E53" s="1" t="n">
        <v>46224</v>
      </c>
      <c r="F53" t="inlineStr">
        <is>
          <t>VÄSTRA GÖTALANDS LÄN</t>
        </is>
      </c>
      <c r="G53" t="inlineStr">
        <is>
          <t>LILLA EDET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45329</v>
      </c>
      <c r="E54" s="1" t="n">
        <v>46224</v>
      </c>
      <c r="F54" t="inlineStr">
        <is>
          <t>VÄSTRA GÖTALANDS LÄN</t>
        </is>
      </c>
      <c r="G54" t="inlineStr">
        <is>
          <t>LILLA EDET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26443-2023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45092</v>
      </c>
      <c r="E55" s="1" t="n">
        <v>46224</v>
      </c>
      <c r="F55" t="inlineStr">
        <is>
          <t>VÄSTRA GÖTALANDS LÄN</t>
        </is>
      </c>
      <c r="G55" t="inlineStr">
        <is>
          <t>LILLA EDET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46224</v>
      </c>
      <c r="F56" t="inlineStr">
        <is>
          <t>VÄSTRA GÖTALANDS LÄN</t>
        </is>
      </c>
      <c r="G56" t="inlineStr">
        <is>
          <t>LILLA EDET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22561-2025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45789</v>
      </c>
      <c r="E57" s="1" t="n">
        <v>46224</v>
      </c>
      <c r="F57" t="inlineStr">
        <is>
          <t>VÄSTRA GÖTALANDS LÄN</t>
        </is>
      </c>
      <c r="G57" t="inlineStr">
        <is>
          <t>LILLA EDET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44473</v>
      </c>
      <c r="E58" s="1" t="n">
        <v>46224</v>
      </c>
      <c r="F58" t="inlineStr">
        <is>
          <t>VÄSTRA GÖTALANDS LÄN</t>
        </is>
      </c>
      <c r="G58" t="inlineStr">
        <is>
          <t>LILLA EDET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12790-2025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45733</v>
      </c>
      <c r="E59" s="1" t="n">
        <v>46224</v>
      </c>
      <c r="F59" t="inlineStr">
        <is>
          <t>VÄSTRA GÖTALANDS LÄN</t>
        </is>
      </c>
      <c r="G59" t="inlineStr">
        <is>
          <t>LILLA EDET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12243-2025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45729</v>
      </c>
      <c r="E60" s="1" t="n">
        <v>46224</v>
      </c>
      <c r="F60" t="inlineStr">
        <is>
          <t>VÄSTRA GÖTALANDS LÄN</t>
        </is>
      </c>
      <c r="G60" t="inlineStr">
        <is>
          <t>LILLA EDET</t>
        </is>
      </c>
      <c r="I60" t="n">
        <v>10.2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30724-2024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45496</v>
      </c>
      <c r="E61" s="1" t="n">
        <v>46224</v>
      </c>
      <c r="F61" t="inlineStr">
        <is>
          <t>VÄSTRA GÖTALANDS LÄN</t>
        </is>
      </c>
      <c r="G61" t="inlineStr">
        <is>
          <t>LILLA EDET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23374-2025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45791</v>
      </c>
      <c r="E62" s="1" t="n">
        <v>46224</v>
      </c>
      <c r="F62" t="inlineStr">
        <is>
          <t>VÄSTRA GÖTALANDS LÄN</t>
        </is>
      </c>
      <c r="G62" t="inlineStr">
        <is>
          <t>LILLA EDET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45792</v>
      </c>
      <c r="E63" s="1" t="n">
        <v>46224</v>
      </c>
      <c r="F63" t="inlineStr">
        <is>
          <t>VÄSTRA GÖTALANDS LÄN</t>
        </is>
      </c>
      <c r="G63" t="inlineStr">
        <is>
          <t>LILLA EDET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45694</v>
      </c>
      <c r="E64" s="1" t="n">
        <v>46224</v>
      </c>
      <c r="F64" t="inlineStr">
        <is>
          <t>VÄSTRA GÖTALANDS LÄN</t>
        </is>
      </c>
      <c r="G64" t="inlineStr">
        <is>
          <t>LILLA EDET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45296</v>
      </c>
      <c r="E65" s="1" t="n">
        <v>46224</v>
      </c>
      <c r="F65" t="inlineStr">
        <is>
          <t>VÄSTRA GÖTALANDS LÄN</t>
        </is>
      </c>
      <c r="G65" t="inlineStr">
        <is>
          <t>LILLA EDET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24053-2025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45796</v>
      </c>
      <c r="E66" s="1" t="n">
        <v>46224</v>
      </c>
      <c r="F66" t="inlineStr">
        <is>
          <t>VÄSTRA GÖTALANDS LÄN</t>
        </is>
      </c>
      <c r="G66" t="inlineStr">
        <is>
          <t>LILLA EDET</t>
        </is>
      </c>
      <c r="I66" t="n">
        <v>11.1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45677</v>
      </c>
      <c r="E67" s="1" t="n">
        <v>46224</v>
      </c>
      <c r="F67" t="inlineStr">
        <is>
          <t>VÄSTRA GÖTALANDS LÄN</t>
        </is>
      </c>
      <c r="G67" t="inlineStr">
        <is>
          <t>LILLA EDET</t>
        </is>
      </c>
      <c r="I67" t="n">
        <v>10.7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45706</v>
      </c>
      <c r="E68" s="1" t="n">
        <v>46224</v>
      </c>
      <c r="F68" t="inlineStr">
        <is>
          <t>VÄSTRA GÖTALANDS LÄN</t>
        </is>
      </c>
      <c r="G68" t="inlineStr">
        <is>
          <t>LILLA EDET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46224</v>
      </c>
      <c r="F69" t="inlineStr">
        <is>
          <t>VÄSTRA GÖTALANDS LÄN</t>
        </is>
      </c>
      <c r="G69" t="inlineStr">
        <is>
          <t>LILLA EDET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46224</v>
      </c>
      <c r="F70" t="inlineStr">
        <is>
          <t>VÄSTRA GÖTALANDS LÄN</t>
        </is>
      </c>
      <c r="G70" t="inlineStr">
        <is>
          <t>LILLA EDET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46224</v>
      </c>
      <c r="F71" t="inlineStr">
        <is>
          <t>VÄSTRA GÖTALANDS LÄN</t>
        </is>
      </c>
      <c r="G71" t="inlineStr">
        <is>
          <t>LILLA EDET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46224</v>
      </c>
      <c r="F72" t="inlineStr">
        <is>
          <t>VÄSTRA GÖTALANDS LÄN</t>
        </is>
      </c>
      <c r="G72" t="inlineStr">
        <is>
          <t>LILLA EDET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45694</v>
      </c>
      <c r="E73" s="1" t="n">
        <v>46224</v>
      </c>
      <c r="F73" t="inlineStr">
        <is>
          <t>VÄSTRA GÖTALANDS LÄN</t>
        </is>
      </c>
      <c r="G73" t="inlineStr">
        <is>
          <t>LILLA EDET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45855</v>
      </c>
      <c r="E74" s="1" t="n">
        <v>46224</v>
      </c>
      <c r="F74" t="inlineStr">
        <is>
          <t>VÄSTRA GÖTALANDS LÄN</t>
        </is>
      </c>
      <c r="G74" t="inlineStr">
        <is>
          <t>LILLA EDET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45699</v>
      </c>
      <c r="E75" s="1" t="n">
        <v>46224</v>
      </c>
      <c r="F75" t="inlineStr">
        <is>
          <t>VÄSTRA GÖTALANDS LÄN</t>
        </is>
      </c>
      <c r="G75" t="inlineStr">
        <is>
          <t>LILLA EDET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36984-2024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45539</v>
      </c>
      <c r="E76" s="1" t="n">
        <v>46224</v>
      </c>
      <c r="F76" t="inlineStr">
        <is>
          <t>VÄSTRA GÖTALANDS LÄN</t>
        </is>
      </c>
      <c r="G76" t="inlineStr">
        <is>
          <t>LILLA EDET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42857-2025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45908</v>
      </c>
      <c r="E77" s="1" t="n">
        <v>46224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27222-2025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45812</v>
      </c>
      <c r="E78" s="1" t="n">
        <v>46224</v>
      </c>
      <c r="F78" t="inlineStr">
        <is>
          <t>VÄSTRA GÖTALANDS LÄN</t>
        </is>
      </c>
      <c r="G78" t="inlineStr">
        <is>
          <t>LILLA EDET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47511-2024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45587</v>
      </c>
      <c r="E79" s="1" t="n">
        <v>46224</v>
      </c>
      <c r="F79" t="inlineStr">
        <is>
          <t>VÄSTRA GÖTALANDS LÄN</t>
        </is>
      </c>
      <c r="G79" t="inlineStr">
        <is>
          <t>LILLA EDET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44104-2025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45915</v>
      </c>
      <c r="E80" s="1" t="n">
        <v>46224</v>
      </c>
      <c r="F80" t="inlineStr">
        <is>
          <t>VÄSTRA GÖTALANDS LÄN</t>
        </is>
      </c>
      <c r="G80" t="inlineStr">
        <is>
          <t>LILLA EDET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28515-2025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45819</v>
      </c>
      <c r="E81" s="1" t="n">
        <v>46224</v>
      </c>
      <c r="F81" t="inlineStr">
        <is>
          <t>VÄSTRA GÖTALANDS LÄN</t>
        </is>
      </c>
      <c r="G81" t="inlineStr">
        <is>
          <t>LILLA EDET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43684-2025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45912</v>
      </c>
      <c r="E82" s="1" t="n">
        <v>46224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61435-2024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45646</v>
      </c>
      <c r="E83" s="1" t="n">
        <v>46224</v>
      </c>
      <c r="F83" t="inlineStr">
        <is>
          <t>VÄSTRA GÖTALANDS LÄN</t>
        </is>
      </c>
      <c r="G83" t="inlineStr">
        <is>
          <t>LILLA EDET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46224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46224</v>
      </c>
      <c r="F85" t="inlineStr">
        <is>
          <t>VÄSTRA GÖTALANDS LÄN</t>
        </is>
      </c>
      <c r="G85" t="inlineStr">
        <is>
          <t>LILLA EDET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46224</v>
      </c>
      <c r="F86" t="inlineStr">
        <is>
          <t>VÄSTRA GÖTALANDS LÄN</t>
        </is>
      </c>
      <c r="G86" t="inlineStr">
        <is>
          <t>LILLA EDET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44915-2025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46224</v>
      </c>
      <c r="F87" t="inlineStr">
        <is>
          <t>VÄSTRA GÖTALANDS LÄN</t>
        </is>
      </c>
      <c r="G87" t="inlineStr">
        <is>
          <t>LILLA EDET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45693</v>
      </c>
      <c r="E88" s="1" t="n">
        <v>46224</v>
      </c>
      <c r="F88" t="inlineStr">
        <is>
          <t>VÄSTRA GÖTALANDS LÄN</t>
        </is>
      </c>
      <c r="G88" t="inlineStr">
        <is>
          <t>LILLA EDET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37063-2024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45539</v>
      </c>
      <c r="E89" s="1" t="n">
        <v>46224</v>
      </c>
      <c r="F89" t="inlineStr">
        <is>
          <t>VÄSTRA GÖTALANDS LÄN</t>
        </is>
      </c>
      <c r="G89" t="inlineStr">
        <is>
          <t>LILLA EDET</t>
        </is>
      </c>
      <c r="I89" t="n">
        <v>8.800000000000001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46224</v>
      </c>
      <c r="F90" t="inlineStr">
        <is>
          <t>VÄSTRA GÖTALANDS LÄN</t>
        </is>
      </c>
      <c r="G90" t="inlineStr">
        <is>
          <t>LILLA EDET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57381-2022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44896</v>
      </c>
      <c r="E91" s="1" t="n">
        <v>46224</v>
      </c>
      <c r="F91" t="inlineStr">
        <is>
          <t>VÄSTRA GÖTALANDS LÄN</t>
        </is>
      </c>
      <c r="G91" t="inlineStr">
        <is>
          <t>LILLA EDET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48730-2025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46224</v>
      </c>
      <c r="F92" t="inlineStr">
        <is>
          <t>VÄSTRA GÖTALANDS LÄN</t>
        </is>
      </c>
      <c r="G92" t="inlineStr">
        <is>
          <t>LILLA EDET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46224</v>
      </c>
      <c r="F93" t="inlineStr">
        <is>
          <t>VÄSTRA GÖTALANDS LÄN</t>
        </is>
      </c>
      <c r="G93" t="inlineStr">
        <is>
          <t>LILLA EDET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45000</v>
      </c>
      <c r="E94" s="1" t="n">
        <v>46224</v>
      </c>
      <c r="F94" t="inlineStr">
        <is>
          <t>VÄSTRA GÖTALANDS LÄN</t>
        </is>
      </c>
      <c r="G94" t="inlineStr">
        <is>
          <t>LILLA EDET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49188-2025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46224</v>
      </c>
      <c r="F95" t="inlineStr">
        <is>
          <t>VÄSTRA GÖTALANDS LÄN</t>
        </is>
      </c>
      <c r="G95" t="inlineStr">
        <is>
          <t>LILLA EDET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45737</v>
      </c>
      <c r="E96" s="1" t="n">
        <v>46224</v>
      </c>
      <c r="F96" t="inlineStr">
        <is>
          <t>VÄSTRA GÖTALANDS LÄN</t>
        </is>
      </c>
      <c r="G96" t="inlineStr">
        <is>
          <t>LILLA EDET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65619-2021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44516</v>
      </c>
      <c r="E97" s="1" t="n">
        <v>46224</v>
      </c>
      <c r="F97" t="inlineStr">
        <is>
          <t>VÄSTRA GÖTALANDS LÄN</t>
        </is>
      </c>
      <c r="G97" t="inlineStr">
        <is>
          <t>LILLA EDET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45855</v>
      </c>
      <c r="E98" s="1" t="n">
        <v>46224</v>
      </c>
      <c r="F98" t="inlineStr">
        <is>
          <t>VÄSTRA GÖTALANDS LÄN</t>
        </is>
      </c>
      <c r="G98" t="inlineStr">
        <is>
          <t>LILLA EDET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41411-2022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46224</v>
      </c>
      <c r="F99" t="inlineStr">
        <is>
          <t>VÄSTRA GÖTALANDS LÄN</t>
        </is>
      </c>
      <c r="G99" t="inlineStr">
        <is>
          <t>LILLA EDET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45860</v>
      </c>
      <c r="E100" s="1" t="n">
        <v>46224</v>
      </c>
      <c r="F100" t="inlineStr">
        <is>
          <t>VÄSTRA GÖTALANDS LÄN</t>
        </is>
      </c>
      <c r="G100" t="inlineStr">
        <is>
          <t>LILLA EDET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12647-2023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45000</v>
      </c>
      <c r="E101" s="1" t="n">
        <v>46224</v>
      </c>
      <c r="F101" t="inlineStr">
        <is>
          <t>VÄSTRA GÖTALANDS LÄN</t>
        </is>
      </c>
      <c r="G101" t="inlineStr">
        <is>
          <t>LILLA EDET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8117-2023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44974</v>
      </c>
      <c r="E102" s="1" t="n">
        <v>46224</v>
      </c>
      <c r="F102" t="inlineStr">
        <is>
          <t>VÄSTRA GÖTALANDS LÄN</t>
        </is>
      </c>
      <c r="G102" t="inlineStr">
        <is>
          <t>LILLA EDET</t>
        </is>
      </c>
      <c r="I102" t="n">
        <v>11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12784-2025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45733</v>
      </c>
      <c r="E103" s="1" t="n">
        <v>46224</v>
      </c>
      <c r="F103" t="inlineStr">
        <is>
          <t>VÄSTRA GÖTALANDS LÄN</t>
        </is>
      </c>
      <c r="G103" t="inlineStr">
        <is>
          <t>LILLA EDET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55324-2025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45971</v>
      </c>
      <c r="E104" s="1" t="n">
        <v>46224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46224</v>
      </c>
      <c r="F105" t="inlineStr">
        <is>
          <t>VÄSTRA GÖTALANDS LÄN</t>
        </is>
      </c>
      <c r="G105" t="inlineStr">
        <is>
          <t>LILLA EDET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46036</v>
      </c>
      <c r="E106" s="1" t="n">
        <v>46224</v>
      </c>
      <c r="F106" t="inlineStr">
        <is>
          <t>VÄSTRA GÖTALANDS LÄN</t>
        </is>
      </c>
      <c r="G106" t="inlineStr">
        <is>
          <t>LILLA EDET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35423-2025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45855</v>
      </c>
      <c r="E107" s="1" t="n">
        <v>46224</v>
      </c>
      <c r="F107" t="inlineStr">
        <is>
          <t>VÄSTRA GÖTALANDS LÄN</t>
        </is>
      </c>
      <c r="G107" t="inlineStr">
        <is>
          <t>LILLA EDET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50349-2024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45600</v>
      </c>
      <c r="E108" s="1" t="n">
        <v>46224</v>
      </c>
      <c r="F108" t="inlineStr">
        <is>
          <t>VÄSTRA GÖTALANDS LÄN</t>
        </is>
      </c>
      <c r="G108" t="inlineStr">
        <is>
          <t>LILLA EDET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7912-2024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45350</v>
      </c>
      <c r="E109" s="1" t="n">
        <v>46224</v>
      </c>
      <c r="F109" t="inlineStr">
        <is>
          <t>VÄSTRA GÖTALANDS LÄN</t>
        </is>
      </c>
      <c r="G109" t="inlineStr">
        <is>
          <t>LILLA EDET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13581-2023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45006</v>
      </c>
      <c r="E110" s="1" t="n">
        <v>46224</v>
      </c>
      <c r="F110" t="inlineStr">
        <is>
          <t>VÄSTRA GÖTALANDS LÄN</t>
        </is>
      </c>
      <c r="G110" t="inlineStr">
        <is>
          <t>LILLA EDET</t>
        </is>
      </c>
      <c r="H110" t="inlineStr">
        <is>
          <t>Kommuner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8071-2024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45351</v>
      </c>
      <c r="E111" s="1" t="n">
        <v>46224</v>
      </c>
      <c r="F111" t="inlineStr">
        <is>
          <t>VÄSTRA GÖTALANDS LÄN</t>
        </is>
      </c>
      <c r="G111" t="inlineStr">
        <is>
          <t>LILLA EDET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13975-2023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45008</v>
      </c>
      <c r="E112" s="1" t="n">
        <v>46224</v>
      </c>
      <c r="F112" t="inlineStr">
        <is>
          <t>VÄSTRA GÖTALANDS LÄN</t>
        </is>
      </c>
      <c r="G112" t="inlineStr">
        <is>
          <t>LILLA EDET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44671</v>
      </c>
      <c r="E113" s="1" t="n">
        <v>46224</v>
      </c>
      <c r="F113" t="inlineStr">
        <is>
          <t>VÄSTRA GÖTALANDS LÄN</t>
        </is>
      </c>
      <c r="G113" t="inlineStr">
        <is>
          <t>LILLA EDET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44960</v>
      </c>
      <c r="E114" s="1" t="n">
        <v>46224</v>
      </c>
      <c r="F114" t="inlineStr">
        <is>
          <t>VÄSTRA GÖTALANDS LÄN</t>
        </is>
      </c>
      <c r="G114" t="inlineStr">
        <is>
          <t>LILLA EDET</t>
        </is>
      </c>
      <c r="H114" t="inlineStr">
        <is>
          <t>Kyrkan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45554</v>
      </c>
      <c r="E115" s="1" t="n">
        <v>46224</v>
      </c>
      <c r="F115" t="inlineStr">
        <is>
          <t>VÄSTRA GÖTALANDS LÄN</t>
        </is>
      </c>
      <c r="G115" t="inlineStr">
        <is>
          <t>LILLA EDET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56584-2025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46224</v>
      </c>
      <c r="F116" t="inlineStr">
        <is>
          <t>VÄSTRA GÖTALANDS LÄN</t>
        </is>
      </c>
      <c r="G116" t="inlineStr">
        <is>
          <t>LILLA EDET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57754-2023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46224</v>
      </c>
      <c r="F117" t="inlineStr">
        <is>
          <t>VÄSTRA GÖTALANDS LÄN</t>
        </is>
      </c>
      <c r="G117" t="inlineStr">
        <is>
          <t>LILLA EDET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26886-2023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46224</v>
      </c>
      <c r="F118" t="inlineStr">
        <is>
          <t>VÄSTRA GÖTALANDS LÄN</t>
        </is>
      </c>
      <c r="G118" t="inlineStr">
        <is>
          <t>LILLA EDET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45295</v>
      </c>
      <c r="E119" s="1" t="n">
        <v>46224</v>
      </c>
      <c r="F119" t="inlineStr">
        <is>
          <t>VÄSTRA GÖTALANDS LÄN</t>
        </is>
      </c>
      <c r="G119" t="inlineStr">
        <is>
          <t>LILLA EDET</t>
        </is>
      </c>
      <c r="H119" t="inlineStr">
        <is>
          <t>Kyrkan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46224</v>
      </c>
      <c r="F120" t="inlineStr">
        <is>
          <t>VÄSTRA GÖTALANDS LÄN</t>
        </is>
      </c>
      <c r="G120" t="inlineStr">
        <is>
          <t>LILLA EDET</t>
        </is>
      </c>
      <c r="H120" t="inlineStr">
        <is>
          <t>Kyrkan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29066-2024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45481</v>
      </c>
      <c r="E121" s="1" t="n">
        <v>46224</v>
      </c>
      <c r="F121" t="inlineStr">
        <is>
          <t>VÄSTRA GÖTALANDS LÄN</t>
        </is>
      </c>
      <c r="G121" t="inlineStr">
        <is>
          <t>LILLA EDET</t>
        </is>
      </c>
      <c r="I121" t="n">
        <v>7.9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29068-2024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45481</v>
      </c>
      <c r="E122" s="1" t="n">
        <v>46224</v>
      </c>
      <c r="F122" t="inlineStr">
        <is>
          <t>VÄSTRA GÖTALANDS LÄN</t>
        </is>
      </c>
      <c r="G122" t="inlineStr">
        <is>
          <t>LILLA EDET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4225-2024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45324</v>
      </c>
      <c r="E123" s="1" t="n">
        <v>46224</v>
      </c>
      <c r="F123" t="inlineStr">
        <is>
          <t>VÄSTRA GÖTALANDS LÄN</t>
        </is>
      </c>
      <c r="G123" t="inlineStr">
        <is>
          <t>LILLA EDET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45324</v>
      </c>
      <c r="E124" s="1" t="n">
        <v>46224</v>
      </c>
      <c r="F124" t="inlineStr">
        <is>
          <t>VÄSTRA GÖTALANDS LÄN</t>
        </is>
      </c>
      <c r="G124" t="inlineStr">
        <is>
          <t>LILLA EDET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38093-2022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44811</v>
      </c>
      <c r="E125" s="1" t="n">
        <v>46224</v>
      </c>
      <c r="F125" t="inlineStr">
        <is>
          <t>VÄSTRA GÖTALANDS LÄN</t>
        </is>
      </c>
      <c r="G125" t="inlineStr">
        <is>
          <t>LILLA EDET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46224</v>
      </c>
      <c r="F126" t="inlineStr">
        <is>
          <t>VÄSTRA GÖTALANDS LÄN</t>
        </is>
      </c>
      <c r="G126" t="inlineStr">
        <is>
          <t>LILLA EDET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45692</v>
      </c>
      <c r="E127" s="1" t="n">
        <v>46224</v>
      </c>
      <c r="F127" t="inlineStr">
        <is>
          <t>VÄSTRA GÖTALANDS LÄN</t>
        </is>
      </c>
      <c r="G127" t="inlineStr">
        <is>
          <t>LILLA EDET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51488-2022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44869</v>
      </c>
      <c r="E128" s="1" t="n">
        <v>46224</v>
      </c>
      <c r="F128" t="inlineStr">
        <is>
          <t>VÄSTRA GÖTALANDS LÄN</t>
        </is>
      </c>
      <c r="G128" t="inlineStr">
        <is>
          <t>LILLA EDET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45699</v>
      </c>
      <c r="E129" s="1" t="n">
        <v>46224</v>
      </c>
      <c r="F129" t="inlineStr">
        <is>
          <t>VÄSTRA GÖTALANDS LÄN</t>
        </is>
      </c>
      <c r="G129" t="inlineStr">
        <is>
          <t>LILLA EDET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9046-2022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44615</v>
      </c>
      <c r="E130" s="1" t="n">
        <v>46224</v>
      </c>
      <c r="F130" t="inlineStr">
        <is>
          <t>VÄSTRA GÖTALANDS LÄN</t>
        </is>
      </c>
      <c r="G130" t="inlineStr">
        <is>
          <t>LILLA EDET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17377-2026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46119</v>
      </c>
      <c r="E131" s="1" t="n">
        <v>46224</v>
      </c>
      <c r="F131" t="inlineStr">
        <is>
          <t>VÄSTRA GÖTALANDS LÄN</t>
        </is>
      </c>
      <c r="G131" t="inlineStr">
        <is>
          <t>LILLA EDET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45480</v>
      </c>
      <c r="E132" s="1" t="n">
        <v>46224</v>
      </c>
      <c r="F132" t="inlineStr">
        <is>
          <t>VÄSTRA GÖTALANDS LÄN</t>
        </is>
      </c>
      <c r="G132" t="inlineStr">
        <is>
          <t>LILLA EDET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44915</v>
      </c>
      <c r="E133" s="1" t="n">
        <v>46224</v>
      </c>
      <c r="F133" t="inlineStr">
        <is>
          <t>VÄSTRA GÖTALANDS LÄN</t>
        </is>
      </c>
      <c r="G133" t="inlineStr">
        <is>
          <t>LILLA EDET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45001</v>
      </c>
      <c r="E134" s="1" t="n">
        <v>46224</v>
      </c>
      <c r="F134" t="inlineStr">
        <is>
          <t>VÄSTRA GÖTALANDS LÄN</t>
        </is>
      </c>
      <c r="G134" t="inlineStr">
        <is>
          <t>LILLA EDET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62730-2023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45268</v>
      </c>
      <c r="E135" s="1" t="n">
        <v>46224</v>
      </c>
      <c r="F135" t="inlineStr">
        <is>
          <t>VÄSTRA GÖTALANDS LÄN</t>
        </is>
      </c>
      <c r="G135" t="inlineStr">
        <is>
          <t>LILLA EDET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18841-2026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46129</v>
      </c>
      <c r="E136" s="1" t="n">
        <v>46224</v>
      </c>
      <c r="F136" t="inlineStr">
        <is>
          <t>VÄSTRA GÖTALANDS LÄN</t>
        </is>
      </c>
      <c r="G136" t="inlineStr">
        <is>
          <t>LILLA EDET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45373</v>
      </c>
      <c r="E137" s="1" t="n">
        <v>46224</v>
      </c>
      <c r="F137" t="inlineStr">
        <is>
          <t>VÄSTRA GÖTALANDS LÄN</t>
        </is>
      </c>
      <c r="G137" t="inlineStr">
        <is>
          <t>LILLA EDET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45692</v>
      </c>
      <c r="E138" s="1" t="n">
        <v>46224</v>
      </c>
      <c r="F138" t="inlineStr">
        <is>
          <t>VÄSTRA GÖTALANDS LÄN</t>
        </is>
      </c>
      <c r="G138" t="inlineStr">
        <is>
          <t>LILLA EDET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19079-2025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45766</v>
      </c>
      <c r="E139" s="1" t="n">
        <v>46224</v>
      </c>
      <c r="F139" t="inlineStr">
        <is>
          <t>VÄSTRA GÖTALANDS LÄN</t>
        </is>
      </c>
      <c r="G139" t="inlineStr">
        <is>
          <t>LILLA EDET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54804-2022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44883</v>
      </c>
      <c r="E140" s="1" t="n">
        <v>46224</v>
      </c>
      <c r="F140" t="inlineStr">
        <is>
          <t>VÄSTRA GÖTALANDS LÄN</t>
        </is>
      </c>
      <c r="G140" t="inlineStr">
        <is>
          <t>LILLA EDET</t>
        </is>
      </c>
      <c r="I140" t="n">
        <v>22.6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61952-2024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45653</v>
      </c>
      <c r="E141" s="1" t="n">
        <v>46224</v>
      </c>
      <c r="F141" t="inlineStr">
        <is>
          <t>VÄSTRA GÖTALANDS LÄN</t>
        </is>
      </c>
      <c r="G141" t="inlineStr">
        <is>
          <t>LILLA EDET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28022-2023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45098</v>
      </c>
      <c r="E142" s="1" t="n">
        <v>46224</v>
      </c>
      <c r="F142" t="inlineStr">
        <is>
          <t>VÄSTRA GÖTALANDS LÄN</t>
        </is>
      </c>
      <c r="G142" t="inlineStr">
        <is>
          <t>LILLA EDET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52431-2023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45225</v>
      </c>
      <c r="E143" s="1" t="n">
        <v>46224</v>
      </c>
      <c r="F143" t="inlineStr">
        <is>
          <t>VÄSTRA GÖTALANDS LÄN</t>
        </is>
      </c>
      <c r="G143" t="inlineStr">
        <is>
          <t>LILLA EDET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55972-2022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44889</v>
      </c>
      <c r="E144" s="1" t="n">
        <v>46224</v>
      </c>
      <c r="F144" t="inlineStr">
        <is>
          <t>VÄSTRA GÖTALANDS LÄN</t>
        </is>
      </c>
      <c r="G144" t="inlineStr">
        <is>
          <t>LILLA EDET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33993-2023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45134</v>
      </c>
      <c r="E145" s="1" t="n">
        <v>46224</v>
      </c>
      <c r="F145" t="inlineStr">
        <is>
          <t>VÄSTRA GÖTALANDS LÄN</t>
        </is>
      </c>
      <c r="G145" t="inlineStr">
        <is>
          <t>LILLA EDET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45134</v>
      </c>
      <c r="E146" s="1" t="n">
        <v>46224</v>
      </c>
      <c r="F146" t="inlineStr">
        <is>
          <t>VÄSTRA GÖTALANDS LÄN</t>
        </is>
      </c>
      <c r="G146" t="inlineStr">
        <is>
          <t>LILLA EDET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61475-2025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46001</v>
      </c>
      <c r="E147" s="1" t="n">
        <v>46224</v>
      </c>
      <c r="F147" t="inlineStr">
        <is>
          <t>VÄSTRA GÖTALANDS LÄN</t>
        </is>
      </c>
      <c r="G147" t="inlineStr">
        <is>
          <t>LILLA EDET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45350</v>
      </c>
      <c r="E148" s="1" t="n">
        <v>46224</v>
      </c>
      <c r="F148" t="inlineStr">
        <is>
          <t>VÄSTRA GÖTALANDS LÄN</t>
        </is>
      </c>
      <c r="G148" t="inlineStr">
        <is>
          <t>LILLA EDET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17116-2023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45034</v>
      </c>
      <c r="E149" s="1" t="n">
        <v>46224</v>
      </c>
      <c r="F149" t="inlineStr">
        <is>
          <t>VÄSTRA GÖTALANDS LÄN</t>
        </is>
      </c>
      <c r="G149" t="inlineStr">
        <is>
          <t>LILLA EDET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48904-2024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45594</v>
      </c>
      <c r="E150" s="1" t="n">
        <v>46224</v>
      </c>
      <c r="F150" t="inlineStr">
        <is>
          <t>VÄSTRA GÖTALANDS LÄN</t>
        </is>
      </c>
      <c r="G150" t="inlineStr">
        <is>
          <t>LILLA EDET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44662</v>
      </c>
      <c r="E151" s="1" t="n">
        <v>46224</v>
      </c>
      <c r="F151" t="inlineStr">
        <is>
          <t>VÄSTRA GÖTALANDS LÄN</t>
        </is>
      </c>
      <c r="G151" t="inlineStr">
        <is>
          <t>LILLA EDET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21630-2024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45442</v>
      </c>
      <c r="E152" s="1" t="n">
        <v>46224</v>
      </c>
      <c r="F152" t="inlineStr">
        <is>
          <t>VÄSTRA GÖTALANDS LÄN</t>
        </is>
      </c>
      <c r="G152" t="inlineStr">
        <is>
          <t>LILLA EDET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13382-2023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45005</v>
      </c>
      <c r="E153" s="1" t="n">
        <v>46224</v>
      </c>
      <c r="F153" t="inlineStr">
        <is>
          <t>VÄSTRA GÖTALANDS LÄN</t>
        </is>
      </c>
      <c r="G153" t="inlineStr">
        <is>
          <t>LILLA EDET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45299</v>
      </c>
      <c r="E154" s="1" t="n">
        <v>46224</v>
      </c>
      <c r="F154" t="inlineStr">
        <is>
          <t>VÄSTRA GÖTALANDS LÄN</t>
        </is>
      </c>
      <c r="G154" t="inlineStr">
        <is>
          <t>LILLA EDET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61695-2025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46002</v>
      </c>
      <c r="E155" s="1" t="n">
        <v>46224</v>
      </c>
      <c r="F155" t="inlineStr">
        <is>
          <t>VÄSTRA GÖTALANDS LÄN</t>
        </is>
      </c>
      <c r="G155" t="inlineStr">
        <is>
          <t>LILLA EDET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27643-2026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46190</v>
      </c>
      <c r="E156" s="1" t="n">
        <v>46224</v>
      </c>
      <c r="F156" t="inlineStr">
        <is>
          <t>VÄSTRA GÖTALANDS LÄN</t>
        </is>
      </c>
      <c r="G156" t="inlineStr">
        <is>
          <t>LILLA EDET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13887-2024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45391</v>
      </c>
      <c r="E157" s="1" t="n">
        <v>46224</v>
      </c>
      <c r="F157" t="inlineStr">
        <is>
          <t>VÄSTRA GÖTALANDS LÄN</t>
        </is>
      </c>
      <c r="G157" t="inlineStr">
        <is>
          <t>LILLA EDET</t>
        </is>
      </c>
      <c r="I157" t="n">
        <v>11.3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22257-2026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46154</v>
      </c>
      <c r="E158" s="1" t="n">
        <v>46224</v>
      </c>
      <c r="F158" t="inlineStr">
        <is>
          <t>VÄSTRA GÖTALANDS LÄN</t>
        </is>
      </c>
      <c r="G158" t="inlineStr">
        <is>
          <t>LILLA EDET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45398</v>
      </c>
      <c r="E159" s="1" t="n">
        <v>46224</v>
      </c>
      <c r="F159" t="inlineStr">
        <is>
          <t>VÄSTRA GÖTALANDS LÄN</t>
        </is>
      </c>
      <c r="G159" t="inlineStr">
        <is>
          <t>LILLA EDET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25729-2026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46224</v>
      </c>
      <c r="F160" t="inlineStr">
        <is>
          <t>VÄSTRA GÖTALANDS LÄN</t>
        </is>
      </c>
      <c r="G160" t="inlineStr">
        <is>
          <t>LILLA EDET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45371</v>
      </c>
      <c r="E161" s="1" t="n">
        <v>46224</v>
      </c>
      <c r="F161" t="inlineStr">
        <is>
          <t>VÄSTRA GÖTALANDS LÄN</t>
        </is>
      </c>
      <c r="G161" t="inlineStr">
        <is>
          <t>LILLA EDET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28910-2024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45480</v>
      </c>
      <c r="E162" s="1" t="n">
        <v>46224</v>
      </c>
      <c r="F162" t="inlineStr">
        <is>
          <t>VÄSTRA GÖTALANDS LÄN</t>
        </is>
      </c>
      <c r="G162" t="inlineStr">
        <is>
          <t>LILLA EDET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23541-2026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46163</v>
      </c>
      <c r="E163" s="1" t="n">
        <v>46224</v>
      </c>
      <c r="F163" t="inlineStr">
        <is>
          <t>VÄSTRA GÖTALANDS LÄN</t>
        </is>
      </c>
      <c r="G163" t="inlineStr">
        <is>
          <t>LILLA EDET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45303</v>
      </c>
      <c r="E164" s="1" t="n">
        <v>46224</v>
      </c>
      <c r="F164" t="inlineStr">
        <is>
          <t>VÄSTRA GÖTALANDS LÄN</t>
        </is>
      </c>
      <c r="G164" t="inlineStr">
        <is>
          <t>LILLA EDET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17114-2023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45034</v>
      </c>
      <c r="E165" s="1" t="n">
        <v>46224</v>
      </c>
      <c r="F165" t="inlineStr">
        <is>
          <t>VÄSTRA GÖTALANDS LÄN</t>
        </is>
      </c>
      <c r="G165" t="inlineStr">
        <is>
          <t>LILLA EDET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46224</v>
      </c>
      <c r="F166" t="inlineStr">
        <is>
          <t>VÄSTRA GÖTALANDS LÄN</t>
        </is>
      </c>
      <c r="G166" t="inlineStr">
        <is>
          <t>LILLA EDET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46210</v>
      </c>
      <c r="E167" s="1" t="n">
        <v>46224</v>
      </c>
      <c r="F167" t="inlineStr">
        <is>
          <t>VÄSTRA GÖTALANDS LÄN</t>
        </is>
      </c>
      <c r="G167" t="inlineStr">
        <is>
          <t>LILLA EDET</t>
        </is>
      </c>
      <c r="I167" t="n">
        <v>10.5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45390</v>
      </c>
      <c r="E168" s="1" t="n">
        <v>46224</v>
      </c>
      <c r="F168" t="inlineStr">
        <is>
          <t>VÄSTRA GÖTALANDS LÄN</t>
        </is>
      </c>
      <c r="G168" t="inlineStr">
        <is>
          <t>LILLA EDET</t>
        </is>
      </c>
      <c r="I168" t="n">
        <v>16.4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14891-2025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45743</v>
      </c>
      <c r="E169" s="1" t="n">
        <v>46224</v>
      </c>
      <c r="F169" t="inlineStr">
        <is>
          <t>VÄSTRA GÖTALANDS LÄN</t>
        </is>
      </c>
      <c r="G169" t="inlineStr">
        <is>
          <t>LILLA EDET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37508-2023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45158</v>
      </c>
      <c r="E170" s="1" t="n">
        <v>46224</v>
      </c>
      <c r="F170" t="inlineStr">
        <is>
          <t>VÄSTRA GÖTALANDS LÄN</t>
        </is>
      </c>
      <c r="G170" t="inlineStr">
        <is>
          <t>LILLA EDET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37509-2023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45158</v>
      </c>
      <c r="E171" s="1" t="n">
        <v>46224</v>
      </c>
      <c r="F171" t="inlineStr">
        <is>
          <t>VÄSTRA GÖTALANDS LÄN</t>
        </is>
      </c>
      <c r="G171" t="inlineStr">
        <is>
          <t>LILLA EDET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45016</v>
      </c>
      <c r="E172" s="1" t="n">
        <v>46224</v>
      </c>
      <c r="F172" t="inlineStr">
        <is>
          <t>VÄSTRA GÖTALANDS LÄN</t>
        </is>
      </c>
      <c r="G172" t="inlineStr">
        <is>
          <t>LILLA EDET</t>
        </is>
      </c>
      <c r="H172" t="inlineStr">
        <is>
          <t>Kommuner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24700-2026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46171</v>
      </c>
      <c r="E173" s="1" t="n">
        <v>46224</v>
      </c>
      <c r="F173" t="inlineStr">
        <is>
          <t>VÄSTRA GÖTALANDS LÄN</t>
        </is>
      </c>
      <c r="G173" t="inlineStr">
        <is>
          <t>LILLA EDET</t>
        </is>
      </c>
      <c r="H173" t="inlineStr">
        <is>
          <t>Kyrkan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49879-2023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45213</v>
      </c>
      <c r="E174" s="1" t="n">
        <v>46224</v>
      </c>
      <c r="F174" t="inlineStr">
        <is>
          <t>VÄSTRA GÖTALANDS LÄN</t>
        </is>
      </c>
      <c r="G174" t="inlineStr">
        <is>
          <t>LILLA EDET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44445-2023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45189</v>
      </c>
      <c r="E175" s="1" t="n">
        <v>46224</v>
      </c>
      <c r="F175" t="inlineStr">
        <is>
          <t>VÄSTRA GÖTALANDS LÄN</t>
        </is>
      </c>
      <c r="G175" t="inlineStr">
        <is>
          <t>LILLA EDET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45134</v>
      </c>
      <c r="E176" s="1" t="n">
        <v>46224</v>
      </c>
      <c r="F176" t="inlineStr">
        <is>
          <t>VÄSTRA GÖTALANDS LÄN</t>
        </is>
      </c>
      <c r="G176" t="inlineStr">
        <is>
          <t>LILLA EDET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45692</v>
      </c>
      <c r="E177" s="1" t="n">
        <v>46224</v>
      </c>
      <c r="F177" t="inlineStr">
        <is>
          <t>VÄSTRA GÖTALANDS LÄN</t>
        </is>
      </c>
      <c r="G177" t="inlineStr">
        <is>
          <t>LILLA EDET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45684</v>
      </c>
      <c r="E178" s="1" t="n">
        <v>46224</v>
      </c>
      <c r="F178" t="inlineStr">
        <is>
          <t>VÄSTRA GÖTALANDS LÄN</t>
        </is>
      </c>
      <c r="G178" t="inlineStr">
        <is>
          <t>LILLA EDET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21617-2024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45441</v>
      </c>
      <c r="E179" s="1" t="n">
        <v>46224</v>
      </c>
      <c r="F179" t="inlineStr">
        <is>
          <t>VÄSTRA GÖTALANDS LÄN</t>
        </is>
      </c>
      <c r="G179" t="inlineStr">
        <is>
          <t>LILLA EDET</t>
        </is>
      </c>
      <c r="I179" t="n">
        <v>9.699999999999999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46224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2026-07-21T01:35:34Z</dcterms:created>
  <dcterms:modified xmlns:dcterms="http://purl.org/dc/terms/" xmlns:xsi="http://www.w3.org/2001/XMLSchema-instance" xsi:type="dcterms:W3CDTF">2026-07-21T01:35:34Z</dcterms:modified>
</cp:coreProperties>
</file>