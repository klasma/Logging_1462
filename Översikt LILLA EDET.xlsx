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46225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46225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46225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46225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46225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46225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46225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46225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46225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46225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46225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46225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46225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25298-2024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45462</v>
      </c>
      <c r="E15" s="1" t="n">
        <v>46225</v>
      </c>
      <c r="F15" t="inlineStr">
        <is>
          <t>VÄSTRA GÖTALANDS LÄN</t>
        </is>
      </c>
      <c r="G15" t="inlineStr">
        <is>
          <t>LILLA EDET</t>
        </is>
      </c>
      <c r="H15" t="inlineStr">
        <is>
          <t>Kommuner</t>
        </is>
      </c>
      <c r="I15" t="n">
        <v>5.9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Björksplintborre
Västlig hakmossa
Spillkråka
Revlummer</t>
        </is>
      </c>
      <c r="W15">
        <f>HYPERLINK("https://klasma.github.io/Logging_1462/artfynd/A 25298-2024 artfynd.xlsx", "A 25298-2024")</f>
        <v/>
      </c>
      <c r="X15">
        <f>HYPERLINK("https://klasma.github.io/Logging_1462/kartor/A 25298-2024 karta.png", "A 25298-2024")</f>
        <v/>
      </c>
      <c r="Y15">
        <f>HYPERLINK("https://klasma.github.io/Logging_1462/kartor_geotiff/A 25298-2024 georefererad karta.tif", "A 25298-2024")</f>
        <v/>
      </c>
      <c r="AA15">
        <f>HYPERLINK("https://klasma.github.io/Logging_1462/klagomål/A 25298-2024 FSC-klagomål.docx", "A 25298-2024")</f>
        <v/>
      </c>
      <c r="AB15">
        <f>HYPERLINK("https://klasma.github.io/Logging_1462/klagomålsmail/A 25298-2024 FSC-klagomål mail.docx", "A 25298-2024")</f>
        <v/>
      </c>
      <c r="AC15">
        <f>HYPERLINK("https://klasma.github.io/Logging_1462/tillsyn/A 25298-2024 tillsynsbegäran.docx", "A 25298-2024")</f>
        <v/>
      </c>
      <c r="AD15">
        <f>HYPERLINK("https://klasma.github.io/Logging_1462/tillsynsmail/A 25298-2024 tillsynsbegäran mail.docx", "A 25298-2024")</f>
        <v/>
      </c>
      <c r="AE15">
        <f>HYPERLINK("https://klasma.github.io/Logging_1462/fåglar/A 25298-2024 prioriterade fågelarter.docx", "A 25298-2024")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46225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46225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46225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25655-2023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45089</v>
      </c>
      <c r="E19" s="1" t="n">
        <v>46225</v>
      </c>
      <c r="F19" t="inlineStr">
        <is>
          <t>VÄSTRA GÖTALANDS LÄN</t>
        </is>
      </c>
      <c r="G19" t="inlineStr">
        <is>
          <t>LILLA EDET</t>
        </is>
      </c>
      <c r="I19" t="n">
        <v>5.1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8</v>
      </c>
      <c r="U19" t="n">
        <v>6</v>
      </c>
      <c r="V19" s="2" t="inlineStr">
        <is>
          <t>Bergjohannesört
Svinrot
Fläcknycklar</t>
        </is>
      </c>
      <c r="W19">
        <f>HYPERLINK("https://klasma.github.io/Logging_1462/artfynd/A 25655-2023 artfynd.xlsx", "A 25655-2023")</f>
        <v/>
      </c>
      <c r="X19">
        <f>HYPERLINK("https://klasma.github.io/Logging_1462/kartor/A 25655-2023 karta.png", "A 25655-2023")</f>
        <v/>
      </c>
      <c r="Y19">
        <f>HYPERLINK("https://klasma.github.io/Logging_1462/kartor_geotiff/A 25655-2023 georefererad karta.tif", "A 25655-2023")</f>
        <v/>
      </c>
      <c r="AA19">
        <f>HYPERLINK("https://klasma.github.io/Logging_1462/klagomål/A 25655-2023 FSC-klagomål.docx", "A 25655-2023")</f>
        <v/>
      </c>
      <c r="AB19">
        <f>HYPERLINK("https://klasma.github.io/Logging_1462/klagomålsmail/A 25655-2023 FSC-klagomål mail.docx", "A 25655-2023")</f>
        <v/>
      </c>
      <c r="AC19">
        <f>HYPERLINK("https://klasma.github.io/Logging_1462/tillsyn/A 25655-2023 tillsynsbegäran.docx", "A 25655-2023")</f>
        <v/>
      </c>
      <c r="AD19">
        <f>HYPERLINK("https://klasma.github.io/Logging_1462/tillsynsmail/A 25655-2023 tillsynsbegäran mail.docx", "A 25655-2023")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46225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t="n">
        <v>8</v>
      </c>
      <c r="V20" s="2" t="inlineStr">
        <is>
          <t>Knärot
Havstulpanlav
Tjäder</t>
        </is>
      </c>
      <c r="W20">
        <f>HYPERLINK("https://klasma.github.io/Logging_1462/artfynd/A 5834-2026 artfynd.xlsx", "A 5834-2026")</f>
        <v/>
      </c>
      <c r="X20">
        <f>HYPERLINK("https://klasma.github.io/Logging_1462/kartor/A 5834-2026 karta.png", "A 5834-2026")</f>
        <v/>
      </c>
      <c r="Y20">
        <f>HYPERLINK("https://klasma.github.io/Logging_1462/kartor_geotiff/A 5834-2026 georefererad karta.tif", "A 5834-2026")</f>
        <v/>
      </c>
      <c r="Z20">
        <f>HYPERLINK("https://klasma.github.io/Logging_1462/knärot/A 5834-2026 karta knärot.png", "A 5834-2026")</f>
        <v/>
      </c>
      <c r="AA20">
        <f>HYPERLINK("https://klasma.github.io/Logging_1462/klagomål/A 5834-2026 FSC-klagomål.docx", "A 5834-2026")</f>
        <v/>
      </c>
      <c r="AB20">
        <f>HYPERLINK("https://klasma.github.io/Logging_1462/klagomålsmail/A 5834-2026 FSC-klagomål mail.docx", "A 5834-2026")</f>
        <v/>
      </c>
      <c r="AC20">
        <f>HYPERLINK("https://klasma.github.io/Logging_1462/tillsyn/A 5834-2026 tillsynsbegäran.docx", "A 5834-2026")</f>
        <v/>
      </c>
      <c r="AD20">
        <f>HYPERLINK("https://klasma.github.io/Logging_1462/tillsynsmail/A 5834-2026 tillsynsbegäran mail.docx", "A 5834-2026")</f>
        <v/>
      </c>
      <c r="AE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46225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46225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46225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Spillkråka
Revlummer</t>
        </is>
      </c>
      <c r="W23">
        <f>HYPERLINK("https://klasma.github.io/Logging_1462/artfynd/A 23494-2023 artfynd.xlsx", "A 23494-2023")</f>
        <v/>
      </c>
      <c r="X23">
        <f>HYPERLINK("https://klasma.github.io/Logging_1462/kartor/A 23494-2023 karta.png", "A 23494-2023")</f>
        <v/>
      </c>
      <c r="Y23">
        <f>HYPERLINK("https://klasma.github.io/Logging_1462/kartor_geotiff/A 23494-2023 georefererad karta.tif", "A 23494-2023")</f>
        <v/>
      </c>
      <c r="AA23">
        <f>HYPERLINK("https://klasma.github.io/Logging_1462/klagomål/A 23494-2023 FSC-klagomål.docx", "A 23494-2023")</f>
        <v/>
      </c>
      <c r="AB23">
        <f>HYPERLINK("https://klasma.github.io/Logging_1462/klagomålsmail/A 23494-2023 FSC-klagomål mail.docx", "A 23494-2023")</f>
        <v/>
      </c>
      <c r="AC23">
        <f>HYPERLINK("https://klasma.github.io/Logging_1462/tillsyn/A 23494-2023 tillsynsbegäran.docx", "A 23494-2023")</f>
        <v/>
      </c>
      <c r="AD23">
        <f>HYPERLINK("https://klasma.github.io/Logging_1462/tillsynsmail/A 23494-2023 tillsynsbegäran mail.docx", "A 23494-2023")</f>
        <v/>
      </c>
      <c r="AE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46225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t="n">
        <v>0</v>
      </c>
      <c r="V24" s="2" t="inlineStr">
        <is>
          <t>Västlig hakmossa
Spillkråka</t>
        </is>
      </c>
      <c r="W24">
        <f>HYPERLINK("https://klasma.github.io/Logging_1462/artfynd/A 13699-2024 artfynd.xlsx", "A 13699-2024")</f>
        <v/>
      </c>
      <c r="X24">
        <f>HYPERLINK("https://klasma.github.io/Logging_1462/kartor/A 13699-2024 karta.png", "A 13699-2024")</f>
        <v/>
      </c>
      <c r="Y24">
        <f>HYPERLINK("https://klasma.github.io/Logging_1462/kartor_geotiff/A 13699-2024 georefererad karta.tif", "A 13699-2024")</f>
        <v/>
      </c>
      <c r="AA24">
        <f>HYPERLINK("https://klasma.github.io/Logging_1462/klagomål/A 13699-2024 FSC-klagomål.docx", "A 13699-2024")</f>
        <v/>
      </c>
      <c r="AB24">
        <f>HYPERLINK("https://klasma.github.io/Logging_1462/klagomålsmail/A 13699-2024 FSC-klagomål mail.docx", "A 13699-2024")</f>
        <v/>
      </c>
      <c r="AC24">
        <f>HYPERLINK("https://klasma.github.io/Logging_1462/tillsyn/A 13699-2024 tillsynsbegäran.docx", "A 13699-2024")</f>
        <v/>
      </c>
      <c r="AD24">
        <f>HYPERLINK("https://klasma.github.io/Logging_1462/tillsynsmail/A 13699-2024 tillsynsbegäran mail.docx", "A 13699-2024")</f>
        <v/>
      </c>
      <c r="AE24">
        <f>HYPERLINK("https://klasma.github.io/Logging_1462/fåglar/A 13699-2024 prioriterade fågelarter.docx", "A 13699-2024")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46225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46225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46225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46225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46225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46225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46225</v>
      </c>
      <c r="F31" t="inlineStr">
        <is>
          <t>VÄSTRA GÖTALANDS LÄN</t>
        </is>
      </c>
      <c r="G31" t="inlineStr">
        <is>
          <t>LILLA EDET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HYPERLINK("https://klasma.github.io/Logging_1462/artfynd/A 11102-2024 artfynd.xlsx", "A 11102-2024")</f>
        <v/>
      </c>
      <c r="X31">
        <f>HYPERLINK("https://klasma.github.io/Logging_1462/kartor/A 11102-2024 karta.png", "A 11102-2024")</f>
        <v/>
      </c>
      <c r="Y31">
        <f>HYPERLINK("https://klasma.github.io/Logging_1462/kartor_geotiff/A 11102-2024 georefererad karta.tif", "A 11102-2024")</f>
        <v/>
      </c>
      <c r="AA31">
        <f>HYPERLINK("https://klasma.github.io/Logging_1462/klagomål/A 11102-2024 FSC-klagomål.docx", "A 11102-2024")</f>
        <v/>
      </c>
      <c r="AB31">
        <f>HYPERLINK("https://klasma.github.io/Logging_1462/klagomålsmail/A 11102-2024 FSC-klagomål mail.docx", "A 11102-2024")</f>
        <v/>
      </c>
      <c r="AC31">
        <f>HYPERLINK("https://klasma.github.io/Logging_1462/tillsyn/A 11102-2024 tillsynsbegäran.docx", "A 11102-2024")</f>
        <v/>
      </c>
      <c r="AD31">
        <f>HYPERLINK("https://klasma.github.io/Logging_1462/tillsynsmail/A 11102-2024 tillsynsbegäran mail.docx", "A 11102-2024")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46225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46225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46225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46225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46225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46225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46225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46225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46225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46225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46225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46225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46225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46225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46225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46225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46225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46225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46225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46225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46225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61284-2022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46225</v>
      </c>
      <c r="F53" t="inlineStr">
        <is>
          <t>VÄSTRA GÖTALANDS LÄN</t>
        </is>
      </c>
      <c r="G53" t="inlineStr">
        <is>
          <t>LILLA EDET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45391</v>
      </c>
      <c r="E54" s="1" t="n">
        <v>46225</v>
      </c>
      <c r="F54" t="inlineStr">
        <is>
          <t>VÄSTRA GÖTALANDS LÄN</t>
        </is>
      </c>
      <c r="G54" t="inlineStr">
        <is>
          <t>LILLA EDET</t>
        </is>
      </c>
      <c r="I54" t="n">
        <v>11.3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45225</v>
      </c>
      <c r="E55" s="1" t="n">
        <v>46225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46225</v>
      </c>
      <c r="F56" t="inlineStr">
        <is>
          <t>VÄSTRA GÖTALANDS LÄN</t>
        </is>
      </c>
      <c r="G56" t="inlineStr">
        <is>
          <t>LILLA EDET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45134</v>
      </c>
      <c r="E57" s="1" t="n">
        <v>46225</v>
      </c>
      <c r="F57" t="inlineStr">
        <is>
          <t>VÄSTRA GÖTALANDS LÄN</t>
        </is>
      </c>
      <c r="G57" t="inlineStr">
        <is>
          <t>LILLA EDET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45134</v>
      </c>
      <c r="E58" s="1" t="n">
        <v>46225</v>
      </c>
      <c r="F58" t="inlineStr">
        <is>
          <t>VÄSTRA GÖTALANDS LÄN</t>
        </is>
      </c>
      <c r="G58" t="inlineStr">
        <is>
          <t>LILLA EDET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65619-2021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46225</v>
      </c>
      <c r="F59" t="inlineStr">
        <is>
          <t>VÄSTRA GÖTALANDS LÄN</t>
        </is>
      </c>
      <c r="G59" t="inlineStr">
        <is>
          <t>LILLA EDET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46225</v>
      </c>
      <c r="F60" t="inlineStr">
        <is>
          <t>VÄSTRA GÖTALANDS LÄN</t>
        </is>
      </c>
      <c r="G60" t="inlineStr">
        <is>
          <t>LILLA EDET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45694</v>
      </c>
      <c r="E61" s="1" t="n">
        <v>46225</v>
      </c>
      <c r="F61" t="inlineStr">
        <is>
          <t>VÄSTRA GÖTALANDS LÄN</t>
        </is>
      </c>
      <c r="G61" t="inlineStr">
        <is>
          <t>LILLA EDET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46225</v>
      </c>
      <c r="F62" t="inlineStr">
        <is>
          <t>VÄSTRA GÖTALANDS LÄN</t>
        </is>
      </c>
      <c r="G62" t="inlineStr">
        <is>
          <t>LILLA EDET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2226-2026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46036</v>
      </c>
      <c r="E63" s="1" t="n">
        <v>46225</v>
      </c>
      <c r="F63" t="inlineStr">
        <is>
          <t>VÄSTRA GÖTALANDS LÄN</t>
        </is>
      </c>
      <c r="G63" t="inlineStr">
        <is>
          <t>LILLA EDET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36984-2024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45539</v>
      </c>
      <c r="E64" s="1" t="n">
        <v>46225</v>
      </c>
      <c r="F64" t="inlineStr">
        <is>
          <t>VÄSTRA GÖTALANDS LÄN</t>
        </is>
      </c>
      <c r="G64" t="inlineStr">
        <is>
          <t>LILLA EDET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2438-2026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46036</v>
      </c>
      <c r="E65" s="1" t="n">
        <v>46225</v>
      </c>
      <c r="F65" t="inlineStr">
        <is>
          <t>VÄSTRA GÖTALANDS LÄN</t>
        </is>
      </c>
      <c r="G65" t="inlineStr">
        <is>
          <t>LILLA EDET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51488-2022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44869</v>
      </c>
      <c r="E66" s="1" t="n">
        <v>46225</v>
      </c>
      <c r="F66" t="inlineStr">
        <is>
          <t>VÄSTRA GÖTALANDS LÄN</t>
        </is>
      </c>
      <c r="G66" t="inlineStr">
        <is>
          <t>LILLA EDET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46225</v>
      </c>
      <c r="F67" t="inlineStr">
        <is>
          <t>VÄSTRA GÖTALANDS LÄN</t>
        </is>
      </c>
      <c r="G67" t="inlineStr">
        <is>
          <t>LILLA EDET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45677</v>
      </c>
      <c r="E68" s="1" t="n">
        <v>46225</v>
      </c>
      <c r="F68" t="inlineStr">
        <is>
          <t>VÄSTRA GÖTALANDS LÄN</t>
        </is>
      </c>
      <c r="G68" t="inlineStr">
        <is>
          <t>LILLA EDET</t>
        </is>
      </c>
      <c r="I68" t="n">
        <v>10.7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45855</v>
      </c>
      <c r="E69" s="1" t="n">
        <v>46225</v>
      </c>
      <c r="F69" t="inlineStr">
        <is>
          <t>VÄSTRA GÖTALANDS LÄN</t>
        </is>
      </c>
      <c r="G69" t="inlineStr">
        <is>
          <t>LILLA EDET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45819</v>
      </c>
      <c r="E70" s="1" t="n">
        <v>46225</v>
      </c>
      <c r="F70" t="inlineStr">
        <is>
          <t>VÄSTRA GÖTALANDS LÄN</t>
        </is>
      </c>
      <c r="G70" t="inlineStr">
        <is>
          <t>LILLA EDET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45480</v>
      </c>
      <c r="E71" s="1" t="n">
        <v>46225</v>
      </c>
      <c r="F71" t="inlineStr">
        <is>
          <t>VÄSTRA GÖTALANDS LÄN</t>
        </is>
      </c>
      <c r="G71" t="inlineStr">
        <is>
          <t>LILLA EDET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46225</v>
      </c>
      <c r="F72" t="inlineStr">
        <is>
          <t>VÄSTRA GÖTALANDS LÄN</t>
        </is>
      </c>
      <c r="G72" t="inlineStr">
        <is>
          <t>LILLA EDET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46225</v>
      </c>
      <c r="F73" t="inlineStr">
        <is>
          <t>VÄSTRA GÖTALANDS LÄN</t>
        </is>
      </c>
      <c r="G73" t="inlineStr">
        <is>
          <t>LILLA EDET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46225</v>
      </c>
      <c r="F74" t="inlineStr">
        <is>
          <t>VÄSTRA GÖTALANDS LÄN</t>
        </is>
      </c>
      <c r="G74" t="inlineStr">
        <is>
          <t>LILLA EDET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46225</v>
      </c>
      <c r="F75" t="inlineStr">
        <is>
          <t>VÄSTRA GÖTALANDS LÄN</t>
        </is>
      </c>
      <c r="G75" t="inlineStr">
        <is>
          <t>LILLA EDET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46225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45855</v>
      </c>
      <c r="E77" s="1" t="n">
        <v>46225</v>
      </c>
      <c r="F77" t="inlineStr">
        <is>
          <t>VÄSTRA GÖTALANDS LÄN</t>
        </is>
      </c>
      <c r="G77" t="inlineStr">
        <is>
          <t>LILLA EDET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42857-2025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45908</v>
      </c>
      <c r="E78" s="1" t="n">
        <v>46225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43684-2025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46225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46225</v>
      </c>
      <c r="F80" t="inlineStr">
        <is>
          <t>VÄSTRA GÖTALANDS LÄN</t>
        </is>
      </c>
      <c r="G80" t="inlineStr">
        <is>
          <t>LILLA EDET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44104-2025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45915</v>
      </c>
      <c r="E81" s="1" t="n">
        <v>46225</v>
      </c>
      <c r="F81" t="inlineStr">
        <is>
          <t>VÄSTRA GÖTALANDS LÄN</t>
        </is>
      </c>
      <c r="G81" t="inlineStr">
        <is>
          <t>LILLA EDET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46225</v>
      </c>
      <c r="F82" t="inlineStr">
        <is>
          <t>VÄSTRA GÖTALANDS LÄN</t>
        </is>
      </c>
      <c r="G82" t="inlineStr">
        <is>
          <t>LILLA EDET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46225</v>
      </c>
      <c r="F83" t="inlineStr">
        <is>
          <t>VÄSTRA GÖTALANDS LÄN</t>
        </is>
      </c>
      <c r="G83" t="inlineStr">
        <is>
          <t>LILLA EDET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46225</v>
      </c>
      <c r="F84" t="inlineStr">
        <is>
          <t>VÄSTRA GÖTALANDS LÄN</t>
        </is>
      </c>
      <c r="G84" t="inlineStr">
        <is>
          <t>LILLA EDET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46225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46225</v>
      </c>
      <c r="F86" t="inlineStr">
        <is>
          <t>VÄSTRA GÖTALANDS LÄN</t>
        </is>
      </c>
      <c r="G86" t="inlineStr">
        <is>
          <t>LILLA EDET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45303</v>
      </c>
      <c r="E87" s="1" t="n">
        <v>46225</v>
      </c>
      <c r="F87" t="inlineStr">
        <is>
          <t>VÄSTRA GÖTALANDS LÄN</t>
        </is>
      </c>
      <c r="G87" t="inlineStr">
        <is>
          <t>LILLA EDET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35420-2025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45855</v>
      </c>
      <c r="E88" s="1" t="n">
        <v>46225</v>
      </c>
      <c r="F88" t="inlineStr">
        <is>
          <t>VÄSTRA GÖTALANDS LÄN</t>
        </is>
      </c>
      <c r="G88" t="inlineStr">
        <is>
          <t>LILLA EDET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35717-2025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45860</v>
      </c>
      <c r="E89" s="1" t="n">
        <v>46225</v>
      </c>
      <c r="F89" t="inlineStr">
        <is>
          <t>VÄSTRA GÖTALANDS LÄN</t>
        </is>
      </c>
      <c r="G89" t="inlineStr">
        <is>
          <t>LILLA EDET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46225</v>
      </c>
      <c r="F90" t="inlineStr">
        <is>
          <t>VÄSTRA GÖTALANDS LÄN</t>
        </is>
      </c>
      <c r="G90" t="inlineStr">
        <is>
          <t>LILLA EDET</t>
        </is>
      </c>
      <c r="H90" t="inlineStr">
        <is>
          <t>Kyrkan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57381-2022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46225</v>
      </c>
      <c r="F91" t="inlineStr">
        <is>
          <t>VÄSTRA GÖTALANDS LÄN</t>
        </is>
      </c>
      <c r="G91" t="inlineStr">
        <is>
          <t>LILLA EDET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46225</v>
      </c>
      <c r="F92" t="inlineStr">
        <is>
          <t>VÄSTRA GÖTALANDS LÄN</t>
        </is>
      </c>
      <c r="G92" t="inlineStr">
        <is>
          <t>LILLA EDET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46225</v>
      </c>
      <c r="F93" t="inlineStr">
        <is>
          <t>VÄSTRA GÖTALANDS LÄN</t>
        </is>
      </c>
      <c r="G93" t="inlineStr">
        <is>
          <t>LILLA EDET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46225</v>
      </c>
      <c r="F94" t="inlineStr">
        <is>
          <t>VÄSTRA GÖTALANDS LÄN</t>
        </is>
      </c>
      <c r="G94" t="inlineStr">
        <is>
          <t>LILLA EDET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46225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46100</v>
      </c>
      <c r="E96" s="1" t="n">
        <v>46225</v>
      </c>
      <c r="F96" t="inlineStr">
        <is>
          <t>VÄSTRA GÖTALANDS LÄN</t>
        </is>
      </c>
      <c r="G96" t="inlineStr">
        <is>
          <t>LILLA EDET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46225</v>
      </c>
      <c r="F97" t="inlineStr">
        <is>
          <t>VÄSTRA GÖTALANDS LÄN</t>
        </is>
      </c>
      <c r="G97" t="inlineStr">
        <is>
          <t>LILLA EDET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17377-2026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46225</v>
      </c>
      <c r="F98" t="inlineStr">
        <is>
          <t>VÄSTRA GÖTALANDS LÄN</t>
        </is>
      </c>
      <c r="G98" t="inlineStr">
        <is>
          <t>LILLA EDET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18841-2026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46129</v>
      </c>
      <c r="E99" s="1" t="n">
        <v>46225</v>
      </c>
      <c r="F99" t="inlineStr">
        <is>
          <t>VÄSTRA GÖTALANDS LÄN</t>
        </is>
      </c>
      <c r="G99" t="inlineStr">
        <is>
          <t>LILLA EDET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45971</v>
      </c>
      <c r="E100" s="1" t="n">
        <v>46225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7912-2024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46225</v>
      </c>
      <c r="F101" t="inlineStr">
        <is>
          <t>VÄSTRA GÖTALANDS LÄN</t>
        </is>
      </c>
      <c r="G101" t="inlineStr">
        <is>
          <t>LILLA EDET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46225</v>
      </c>
      <c r="F102" t="inlineStr">
        <is>
          <t>VÄSTRA GÖTALANDS LÄN</t>
        </is>
      </c>
      <c r="G102" t="inlineStr">
        <is>
          <t>LILLA EDET</t>
        </is>
      </c>
      <c r="H102" t="inlineStr">
        <is>
          <t>Kyrkan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19079-2025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45766</v>
      </c>
      <c r="E103" s="1" t="n">
        <v>46225</v>
      </c>
      <c r="F103" t="inlineStr">
        <is>
          <t>VÄSTRA GÖTALANDS LÄN</t>
        </is>
      </c>
      <c r="G103" t="inlineStr">
        <is>
          <t>LILLA EDET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54804-2022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44883</v>
      </c>
      <c r="E104" s="1" t="n">
        <v>46225</v>
      </c>
      <c r="F104" t="inlineStr">
        <is>
          <t>VÄSTRA GÖTALANDS LÄN</t>
        </is>
      </c>
      <c r="G104" t="inlineStr">
        <is>
          <t>LILLA EDET</t>
        </is>
      </c>
      <c r="I104" t="n">
        <v>22.6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45098</v>
      </c>
      <c r="E105" s="1" t="n">
        <v>46225</v>
      </c>
      <c r="F105" t="inlineStr">
        <is>
          <t>VÄSTRA GÖTALANDS LÄN</t>
        </is>
      </c>
      <c r="G105" t="inlineStr">
        <is>
          <t>LILLA EDET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46225</v>
      </c>
      <c r="F106" t="inlineStr">
        <is>
          <t>VÄSTRA GÖTALANDS LÄN</t>
        </is>
      </c>
      <c r="G106" t="inlineStr">
        <is>
          <t>LILLA EDET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46225</v>
      </c>
      <c r="F107" t="inlineStr">
        <is>
          <t>VÄSTRA GÖTALANDS LÄN</t>
        </is>
      </c>
      <c r="G107" t="inlineStr">
        <is>
          <t>LILLA EDET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61475-2025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46225</v>
      </c>
      <c r="F108" t="inlineStr">
        <is>
          <t>VÄSTRA GÖTALANDS LÄN</t>
        </is>
      </c>
      <c r="G108" t="inlineStr">
        <is>
          <t>LILLA EDET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44889</v>
      </c>
      <c r="E109" s="1" t="n">
        <v>46225</v>
      </c>
      <c r="F109" t="inlineStr">
        <is>
          <t>VÄSTRA GÖTALANDS LÄN</t>
        </is>
      </c>
      <c r="G109" t="inlineStr">
        <is>
          <t>LILLA EDET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46225</v>
      </c>
      <c r="F110" t="inlineStr">
        <is>
          <t>VÄSTRA GÖTALANDS LÄN</t>
        </is>
      </c>
      <c r="G110" t="inlineStr">
        <is>
          <t>LILLA EDET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45000</v>
      </c>
      <c r="E111" s="1" t="n">
        <v>46225</v>
      </c>
      <c r="F111" t="inlineStr">
        <is>
          <t>VÄSTRA GÖTALANDS LÄN</t>
        </is>
      </c>
      <c r="G111" t="inlineStr">
        <is>
          <t>LILLA EDET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46225</v>
      </c>
      <c r="F112" t="inlineStr">
        <is>
          <t>VÄSTRA GÖTALANDS LÄN</t>
        </is>
      </c>
      <c r="G112" t="inlineStr">
        <is>
          <t>LILLA EDET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46225</v>
      </c>
      <c r="F113" t="inlineStr">
        <is>
          <t>VÄSTRA GÖTALANDS LÄN</t>
        </is>
      </c>
      <c r="G113" t="inlineStr">
        <is>
          <t>LILLA EDET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27643-2026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46190</v>
      </c>
      <c r="E114" s="1" t="n">
        <v>46225</v>
      </c>
      <c r="F114" t="inlineStr">
        <is>
          <t>VÄSTRA GÖTALANDS LÄN</t>
        </is>
      </c>
      <c r="G114" t="inlineStr">
        <is>
          <t>LILLA EDET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45480</v>
      </c>
      <c r="E115" s="1" t="n">
        <v>46225</v>
      </c>
      <c r="F115" t="inlineStr">
        <is>
          <t>VÄSTRA GÖTALANDS LÄN</t>
        </is>
      </c>
      <c r="G115" t="inlineStr">
        <is>
          <t>LILLA EDET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46154</v>
      </c>
      <c r="E116" s="1" t="n">
        <v>46225</v>
      </c>
      <c r="F116" t="inlineStr">
        <is>
          <t>VÄSTRA GÖTALANDS LÄN</t>
        </is>
      </c>
      <c r="G116" t="inlineStr">
        <is>
          <t>LILLA EDET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45000</v>
      </c>
      <c r="E117" s="1" t="n">
        <v>46225</v>
      </c>
      <c r="F117" t="inlineStr">
        <is>
          <t>VÄSTRA GÖTALANDS LÄN</t>
        </is>
      </c>
      <c r="G117" t="inlineStr">
        <is>
          <t>LILLA EDET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45692</v>
      </c>
      <c r="E118" s="1" t="n">
        <v>46225</v>
      </c>
      <c r="F118" t="inlineStr">
        <is>
          <t>VÄSTRA GÖTALANDS LÄN</t>
        </is>
      </c>
      <c r="G118" t="inlineStr">
        <is>
          <t>LILLA EDET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46178</v>
      </c>
      <c r="E119" s="1" t="n">
        <v>46225</v>
      </c>
      <c r="F119" t="inlineStr">
        <is>
          <t>VÄSTRA GÖTALANDS LÄN</t>
        </is>
      </c>
      <c r="G119" t="inlineStr">
        <is>
          <t>LILLA EDET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23541-2026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46163</v>
      </c>
      <c r="E120" s="1" t="n">
        <v>46225</v>
      </c>
      <c r="F120" t="inlineStr">
        <is>
          <t>VÄSTRA GÖTALANDS LÄN</t>
        </is>
      </c>
      <c r="G120" t="inlineStr">
        <is>
          <t>LILLA EDET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46210</v>
      </c>
      <c r="E121" s="1" t="n">
        <v>46225</v>
      </c>
      <c r="F121" t="inlineStr">
        <is>
          <t>VÄSTRA GÖTALANDS LÄN</t>
        </is>
      </c>
      <c r="G121" t="inlineStr">
        <is>
          <t>LILLA EDET</t>
        </is>
      </c>
      <c r="I121" t="n">
        <v>10.5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45743</v>
      </c>
      <c r="E122" s="1" t="n">
        <v>46225</v>
      </c>
      <c r="F122" t="inlineStr">
        <is>
          <t>VÄSTRA GÖTALANDS LÄN</t>
        </is>
      </c>
      <c r="G122" t="inlineStr">
        <is>
          <t>LILLA EDET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46171</v>
      </c>
      <c r="E123" s="1" t="n">
        <v>46225</v>
      </c>
      <c r="F123" t="inlineStr">
        <is>
          <t>VÄSTRA GÖTALANDS LÄN</t>
        </is>
      </c>
      <c r="G123" t="inlineStr">
        <is>
          <t>LILLA EDET</t>
        </is>
      </c>
      <c r="H123" t="inlineStr">
        <is>
          <t>Kyrkan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46225</v>
      </c>
      <c r="F124" t="inlineStr">
        <is>
          <t>VÄSTRA GÖTALANDS LÄN</t>
        </is>
      </c>
      <c r="G124" t="inlineStr">
        <is>
          <t>LILLA EDET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45092</v>
      </c>
      <c r="E125" s="1" t="n">
        <v>46225</v>
      </c>
      <c r="F125" t="inlineStr">
        <is>
          <t>VÄSTRA GÖTALANDS LÄN</t>
        </is>
      </c>
      <c r="G125" t="inlineStr">
        <is>
          <t>LILLA EDET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17114-2023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45034</v>
      </c>
      <c r="E126" s="1" t="n">
        <v>46225</v>
      </c>
      <c r="F126" t="inlineStr">
        <is>
          <t>VÄSTRA GÖTALANDS LÄN</t>
        </is>
      </c>
      <c r="G126" t="inlineStr">
        <is>
          <t>LILLA EDET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58750-2021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46225</v>
      </c>
      <c r="F127" t="inlineStr">
        <is>
          <t>VÄSTRA GÖTALANDS LÄN</t>
        </is>
      </c>
      <c r="G127" t="inlineStr">
        <is>
          <t>LILLA EDET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46225</v>
      </c>
      <c r="F128" t="inlineStr">
        <is>
          <t>VÄSTRA GÖTALANDS LÄN</t>
        </is>
      </c>
      <c r="G128" t="inlineStr">
        <is>
          <t>LILLA EDET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45006</v>
      </c>
      <c r="E129" s="1" t="n">
        <v>46225</v>
      </c>
      <c r="F129" t="inlineStr">
        <is>
          <t>VÄSTRA GÖTALANDS LÄN</t>
        </is>
      </c>
      <c r="G129" t="inlineStr">
        <is>
          <t>LILLA EDET</t>
        </is>
      </c>
      <c r="H129" t="inlineStr">
        <is>
          <t>Kommuner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54681-2021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44473</v>
      </c>
      <c r="E130" s="1" t="n">
        <v>46225</v>
      </c>
      <c r="F130" t="inlineStr">
        <is>
          <t>VÄSTRA GÖTALANDS LÄN</t>
        </is>
      </c>
      <c r="G130" t="inlineStr">
        <is>
          <t>LILLA EDET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46225</v>
      </c>
      <c r="F131" t="inlineStr">
        <is>
          <t>VÄSTRA GÖTALANDS LÄN</t>
        </is>
      </c>
      <c r="G131" t="inlineStr">
        <is>
          <t>LILLA EDET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46225</v>
      </c>
      <c r="F132" t="inlineStr">
        <is>
          <t>VÄSTRA GÖTALANDS LÄN</t>
        </is>
      </c>
      <c r="G132" t="inlineStr">
        <is>
          <t>LILLA EDET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45329</v>
      </c>
      <c r="E133" s="1" t="n">
        <v>46225</v>
      </c>
      <c r="F133" t="inlineStr">
        <is>
          <t>VÄSTRA GÖTALANDS LÄN</t>
        </is>
      </c>
      <c r="G133" t="inlineStr">
        <is>
          <t>LILLA EDET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44615</v>
      </c>
      <c r="E134" s="1" t="n">
        <v>46225</v>
      </c>
      <c r="F134" t="inlineStr">
        <is>
          <t>VÄSTRA GÖTALANDS LÄN</t>
        </is>
      </c>
      <c r="G134" t="inlineStr">
        <is>
          <t>LILLA EDET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61435-2024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46225</v>
      </c>
      <c r="F135" t="inlineStr">
        <is>
          <t>VÄSTRA GÖTALANDS LÄN</t>
        </is>
      </c>
      <c r="G135" t="inlineStr">
        <is>
          <t>LILLA EDET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45398</v>
      </c>
      <c r="E136" s="1" t="n">
        <v>46225</v>
      </c>
      <c r="F136" t="inlineStr">
        <is>
          <t>VÄSTRA GÖTALANDS LÄN</t>
        </is>
      </c>
      <c r="G136" t="inlineStr">
        <is>
          <t>LILLA EDET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45442</v>
      </c>
      <c r="E137" s="1" t="n">
        <v>46225</v>
      </c>
      <c r="F137" t="inlineStr">
        <is>
          <t>VÄSTRA GÖTALANDS LÄN</t>
        </is>
      </c>
      <c r="G137" t="inlineStr">
        <is>
          <t>LILLA EDET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46225</v>
      </c>
      <c r="F138" t="inlineStr">
        <is>
          <t>VÄSTRA GÖTALANDS LÄN</t>
        </is>
      </c>
      <c r="G138" t="inlineStr">
        <is>
          <t>LILLA EDET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45134</v>
      </c>
      <c r="E139" s="1" t="n">
        <v>46225</v>
      </c>
      <c r="F139" t="inlineStr">
        <is>
          <t>VÄSTRA GÖTALANDS LÄN</t>
        </is>
      </c>
      <c r="G139" t="inlineStr">
        <is>
          <t>LILLA EDET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44826</v>
      </c>
      <c r="E140" s="1" t="n">
        <v>46225</v>
      </c>
      <c r="F140" t="inlineStr">
        <is>
          <t>VÄSTRA GÖTALANDS LÄN</t>
        </is>
      </c>
      <c r="G140" t="inlineStr">
        <is>
          <t>LILLA EDET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46225</v>
      </c>
      <c r="F141" t="inlineStr">
        <is>
          <t>VÄSTRA GÖTALANDS LÄN</t>
        </is>
      </c>
      <c r="G141" t="inlineStr">
        <is>
          <t>LILLA EDET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45324</v>
      </c>
      <c r="E142" s="1" t="n">
        <v>46225</v>
      </c>
      <c r="F142" t="inlineStr">
        <is>
          <t>VÄSTRA GÖTALANDS LÄN</t>
        </is>
      </c>
      <c r="G142" t="inlineStr">
        <is>
          <t>LILLA EDET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45158</v>
      </c>
      <c r="E143" s="1" t="n">
        <v>46225</v>
      </c>
      <c r="F143" t="inlineStr">
        <is>
          <t>VÄSTRA GÖTALANDS LÄN</t>
        </is>
      </c>
      <c r="G143" t="inlineStr">
        <is>
          <t>LILLA EDET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37509-2023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45158</v>
      </c>
      <c r="E144" s="1" t="n">
        <v>46225</v>
      </c>
      <c r="F144" t="inlineStr">
        <is>
          <t>VÄSTRA GÖTALANDS LÄN</t>
        </is>
      </c>
      <c r="G144" t="inlineStr">
        <is>
          <t>LILLA EDET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45005</v>
      </c>
      <c r="E145" s="1" t="n">
        <v>46225</v>
      </c>
      <c r="F145" t="inlineStr">
        <is>
          <t>VÄSTRA GÖTALANDS LÄN</t>
        </is>
      </c>
      <c r="G145" t="inlineStr">
        <is>
          <t>LILLA EDET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44811</v>
      </c>
      <c r="E146" s="1" t="n">
        <v>46225</v>
      </c>
      <c r="F146" t="inlineStr">
        <is>
          <t>VÄSTRA GÖTALANDS LÄN</t>
        </is>
      </c>
      <c r="G146" t="inlineStr">
        <is>
          <t>LILLA EDET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44671</v>
      </c>
      <c r="E147" s="1" t="n">
        <v>46225</v>
      </c>
      <c r="F147" t="inlineStr">
        <is>
          <t>VÄSTRA GÖTALANDS LÄN</t>
        </is>
      </c>
      <c r="G147" t="inlineStr">
        <is>
          <t>LILLA EDET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45554</v>
      </c>
      <c r="E148" s="1" t="n">
        <v>46225</v>
      </c>
      <c r="F148" t="inlineStr">
        <is>
          <t>VÄSTRA GÖTALANDS LÄN</t>
        </is>
      </c>
      <c r="G148" t="inlineStr">
        <is>
          <t>LILLA EDET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46225</v>
      </c>
      <c r="F149" t="inlineStr">
        <is>
          <t>VÄSTRA GÖTALANDS LÄN</t>
        </is>
      </c>
      <c r="G149" t="inlineStr">
        <is>
          <t>LILLA EDET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46225</v>
      </c>
      <c r="F150" t="inlineStr">
        <is>
          <t>VÄSTRA GÖTALANDS LÄN</t>
        </is>
      </c>
      <c r="G150" t="inlineStr">
        <is>
          <t>LILLA EDET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46225</v>
      </c>
      <c r="F151" t="inlineStr">
        <is>
          <t>VÄSTRA GÖTALANDS LÄN</t>
        </is>
      </c>
      <c r="G151" t="inlineStr">
        <is>
          <t>LILLA EDET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46225</v>
      </c>
      <c r="F152" t="inlineStr">
        <is>
          <t>VÄSTRA GÖTALANDS LÄN</t>
        </is>
      </c>
      <c r="G152" t="inlineStr">
        <is>
          <t>LILLA EDET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45693</v>
      </c>
      <c r="E153" s="1" t="n">
        <v>46225</v>
      </c>
      <c r="F153" t="inlineStr">
        <is>
          <t>VÄSTRA GÖTALANDS LÄN</t>
        </is>
      </c>
      <c r="G153" t="inlineStr">
        <is>
          <t>LILLA EDET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45295</v>
      </c>
      <c r="E154" s="1" t="n">
        <v>46225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Kyrkan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46225</v>
      </c>
      <c r="F155" t="inlineStr">
        <is>
          <t>VÄSTRA GÖTALANDS LÄN</t>
        </is>
      </c>
      <c r="G155" t="inlineStr">
        <is>
          <t>LILLA EDET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46225</v>
      </c>
      <c r="F156" t="inlineStr">
        <is>
          <t>VÄSTRA GÖTALANDS LÄN</t>
        </is>
      </c>
      <c r="G156" t="inlineStr">
        <is>
          <t>LILLA EDET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45692</v>
      </c>
      <c r="E157" s="1" t="n">
        <v>46225</v>
      </c>
      <c r="F157" t="inlineStr">
        <is>
          <t>VÄSTRA GÖTALANDS LÄN</t>
        </is>
      </c>
      <c r="G157" t="inlineStr">
        <is>
          <t>LILLA EDET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46225</v>
      </c>
      <c r="F158" t="inlineStr">
        <is>
          <t>VÄSTRA GÖTALANDS LÄN</t>
        </is>
      </c>
      <c r="G158" t="inlineStr">
        <is>
          <t>LILLA EDET</t>
        </is>
      </c>
      <c r="I158" t="n">
        <v>16.4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46225</v>
      </c>
      <c r="F159" t="inlineStr">
        <is>
          <t>VÄSTRA GÖTALANDS LÄN</t>
        </is>
      </c>
      <c r="G159" t="inlineStr">
        <is>
          <t>LILLA EDET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46225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46225</v>
      </c>
      <c r="F161" t="inlineStr">
        <is>
          <t>VÄSTRA GÖTALANDS LÄN</t>
        </is>
      </c>
      <c r="G161" t="inlineStr">
        <is>
          <t>LILLA EDET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45008</v>
      </c>
      <c r="E162" s="1" t="n">
        <v>46225</v>
      </c>
      <c r="F162" t="inlineStr">
        <is>
          <t>VÄSTRA GÖTALANDS LÄN</t>
        </is>
      </c>
      <c r="G162" t="inlineStr">
        <is>
          <t>LILLA EDET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46225</v>
      </c>
      <c r="F163" t="inlineStr">
        <is>
          <t>VÄSTRA GÖTALANDS LÄN</t>
        </is>
      </c>
      <c r="G163" t="inlineStr">
        <is>
          <t>LILLA EDET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46225</v>
      </c>
      <c r="F164" t="inlineStr">
        <is>
          <t>VÄSTRA GÖTALANDS LÄN</t>
        </is>
      </c>
      <c r="G164" t="inlineStr">
        <is>
          <t>LILLA EDET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46225</v>
      </c>
      <c r="F165" t="inlineStr">
        <is>
          <t>VÄSTRA GÖTALANDS LÄN</t>
        </is>
      </c>
      <c r="G165" t="inlineStr">
        <is>
          <t>LILLA EDET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45268</v>
      </c>
      <c r="E166" s="1" t="n">
        <v>46225</v>
      </c>
      <c r="F166" t="inlineStr">
        <is>
          <t>VÄSTRA GÖTALANDS LÄN</t>
        </is>
      </c>
      <c r="G166" t="inlineStr">
        <is>
          <t>LILLA EDET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45213</v>
      </c>
      <c r="E167" s="1" t="n">
        <v>46225</v>
      </c>
      <c r="F167" t="inlineStr">
        <is>
          <t>VÄSTRA GÖTALANDS LÄN</t>
        </is>
      </c>
      <c r="G167" t="inlineStr">
        <is>
          <t>LILLA EDET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46225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46225</v>
      </c>
      <c r="F169" t="inlineStr">
        <is>
          <t>VÄSTRA GÖTALANDS LÄN</t>
        </is>
      </c>
      <c r="G169" t="inlineStr">
        <is>
          <t>LILLA EDET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46225</v>
      </c>
      <c r="F170" t="inlineStr">
        <is>
          <t>VÄSTRA GÖTALANDS LÄN</t>
        </is>
      </c>
      <c r="G170" t="inlineStr">
        <is>
          <t>LILLA EDET</t>
        </is>
      </c>
      <c r="I170" t="n">
        <v>9.699999999999999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46225</v>
      </c>
      <c r="F171" t="inlineStr">
        <is>
          <t>VÄSTRA GÖTALANDS LÄN</t>
        </is>
      </c>
      <c r="G171" t="inlineStr">
        <is>
          <t>LILLA EDET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46225</v>
      </c>
      <c r="F172" t="inlineStr">
        <is>
          <t>VÄSTRA GÖTALANDS LÄN</t>
        </is>
      </c>
      <c r="G172" t="inlineStr">
        <is>
          <t>LILLA EDET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23509-2025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46225</v>
      </c>
      <c r="F173" t="inlineStr">
        <is>
          <t>VÄSTRA GÖTALANDS LÄN</t>
        </is>
      </c>
      <c r="G173" t="inlineStr">
        <is>
          <t>LILLA EDET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45791</v>
      </c>
      <c r="E174" s="1" t="n">
        <v>46225</v>
      </c>
      <c r="F174" t="inlineStr">
        <is>
          <t>VÄSTRA GÖTALANDS LÄN</t>
        </is>
      </c>
      <c r="G174" t="inlineStr">
        <is>
          <t>LILLA EDET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46225</v>
      </c>
      <c r="F175" t="inlineStr">
        <is>
          <t>VÄSTRA GÖTALANDS LÄN</t>
        </is>
      </c>
      <c r="G175" t="inlineStr">
        <is>
          <t>LILLA EDET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46225</v>
      </c>
      <c r="F176" t="inlineStr">
        <is>
          <t>VÄSTRA GÖTALANDS LÄN</t>
        </is>
      </c>
      <c r="G176" t="inlineStr">
        <is>
          <t>LILLA EDET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24053-2025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45796</v>
      </c>
      <c r="E177" s="1" t="n">
        <v>46225</v>
      </c>
      <c r="F177" t="inlineStr">
        <is>
          <t>VÄSTRA GÖTALANDS LÄN</t>
        </is>
      </c>
      <c r="G177" t="inlineStr">
        <is>
          <t>LILLA EDET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46225</v>
      </c>
      <c r="F178" t="inlineStr">
        <is>
          <t>VÄSTRA GÖTALANDS LÄN</t>
        </is>
      </c>
      <c r="G178" t="inlineStr">
        <is>
          <t>LILLA EDET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46225</v>
      </c>
      <c r="F179" t="inlineStr">
        <is>
          <t>VÄSTRA GÖTALANDS LÄN</t>
        </is>
      </c>
      <c r="G179" t="inlineStr">
        <is>
          <t>LILLA EDET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46225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2026-07-22T01:36:19Z</dcterms:created>
  <dcterms:modified xmlns:dcterms="http://purl.org/dc/terms/" xmlns:xsi="http://www.w3.org/2001/XMLSchema-instance" xsi:type="dcterms:W3CDTF">2026-07-22T01:36:19Z</dcterms:modified>
</cp:coreProperties>
</file>