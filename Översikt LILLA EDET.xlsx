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45291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45291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45291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12972-2020</t>
        </is>
      </c>
      <c r="B5" s="1" t="n">
        <v>43900</v>
      </c>
      <c r="C5" s="1" t="n">
        <v>45291</v>
      </c>
      <c r="D5" t="inlineStr">
        <is>
          <t>VÄSTRA GÖTALANDS LÄN</t>
        </is>
      </c>
      <c r="E5" t="inlineStr">
        <is>
          <t>LILLA EDET</t>
        </is>
      </c>
      <c r="G5" t="n">
        <v>31.3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Klippfrullania
Platt fjädermossa</t>
        </is>
      </c>
      <c r="S5">
        <f>HYPERLINK("https://klasma.github.io/Logging_1462/artfynd/A 12972-2020 artfynd.xlsx", "A 12972-2020")</f>
        <v/>
      </c>
      <c r="T5">
        <f>HYPERLINK("https://klasma.github.io/Logging_1462/kartor/A 12972-2020 karta.png", "A 12972-2020")</f>
        <v/>
      </c>
      <c r="V5">
        <f>HYPERLINK("https://klasma.github.io/Logging_1462/klagomål/A 12972-2020 FSC-klagomål.docx", "A 12972-2020")</f>
        <v/>
      </c>
      <c r="W5">
        <f>HYPERLINK("https://klasma.github.io/Logging_1462/klagomålsmail/A 12972-2020 FSC-klagomål mail.docx", "A 12972-2020")</f>
        <v/>
      </c>
      <c r="X5">
        <f>HYPERLINK("https://klasma.github.io/Logging_1462/tillsyn/A 12972-2020 tillsynsbegäran.docx", "A 12972-2020")</f>
        <v/>
      </c>
      <c r="Y5">
        <f>HYPERLINK("https://klasma.github.io/Logging_1462/tillsynsmail/A 12972-2020 tillsynsbegäran mail.docx", "A 12972-2020")</f>
        <v/>
      </c>
    </row>
    <row r="6" ht="15" customHeight="1">
      <c r="A6" t="inlineStr">
        <is>
          <t>A 9099-2022</t>
        </is>
      </c>
      <c r="B6" s="1" t="n">
        <v>44615</v>
      </c>
      <c r="C6" s="1" t="n">
        <v>45291</v>
      </c>
      <c r="D6" t="inlineStr">
        <is>
          <t>VÄSTRA GÖTALANDS LÄN</t>
        </is>
      </c>
      <c r="E6" t="inlineStr">
        <is>
          <t>LILLA EDET</t>
        </is>
      </c>
      <c r="G6" t="n">
        <v>3.8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Liten havstulpanlav
Havstulpanlav</t>
        </is>
      </c>
      <c r="S6">
        <f>HYPERLINK("https://klasma.github.io/Logging_1462/artfynd/A 9099-2022 artfynd.xlsx", "A 9099-2022")</f>
        <v/>
      </c>
      <c r="T6">
        <f>HYPERLINK("https://klasma.github.io/Logging_1462/kartor/A 9099-2022 karta.png", "A 9099-2022")</f>
        <v/>
      </c>
      <c r="V6">
        <f>HYPERLINK("https://klasma.github.io/Logging_1462/klagomål/A 9099-2022 FSC-klagomål.docx", "A 9099-2022")</f>
        <v/>
      </c>
      <c r="W6">
        <f>HYPERLINK("https://klasma.github.io/Logging_1462/klagomålsmail/A 9099-2022 FSC-klagomål mail.docx", "A 9099-2022")</f>
        <v/>
      </c>
      <c r="X6">
        <f>HYPERLINK("https://klasma.github.io/Logging_1462/tillsyn/A 9099-2022 tillsynsbegäran.docx", "A 9099-2022")</f>
        <v/>
      </c>
      <c r="Y6">
        <f>HYPERLINK("https://klasma.github.io/Logging_1462/tillsynsmail/A 9099-2022 tillsynsbegäran mail.docx", "A 9099-2022")</f>
        <v/>
      </c>
    </row>
    <row r="7" ht="15" customHeight="1">
      <c r="A7" t="inlineStr">
        <is>
          <t>A 12617-2023</t>
        </is>
      </c>
      <c r="B7" s="1" t="n">
        <v>45000</v>
      </c>
      <c r="C7" s="1" t="n">
        <v>45291</v>
      </c>
      <c r="D7" t="inlineStr">
        <is>
          <t>VÄSTRA GÖTALANDS LÄN</t>
        </is>
      </c>
      <c r="E7" t="inlineStr">
        <is>
          <t>LILLA EDET</t>
        </is>
      </c>
      <c r="G7" t="n">
        <v>10.2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Loppstarr
Dvärghäxört</t>
        </is>
      </c>
      <c r="S7">
        <f>HYPERLINK("https://klasma.github.io/Logging_1462/artfynd/A 12617-2023 artfynd.xlsx", "A 12617-2023")</f>
        <v/>
      </c>
      <c r="T7">
        <f>HYPERLINK("https://klasma.github.io/Logging_1462/kartor/A 12617-2023 karta.png", "A 12617-2023")</f>
        <v/>
      </c>
      <c r="V7">
        <f>HYPERLINK("https://klasma.github.io/Logging_1462/klagomål/A 12617-2023 FSC-klagomål.docx", "A 12617-2023")</f>
        <v/>
      </c>
      <c r="W7">
        <f>HYPERLINK("https://klasma.github.io/Logging_1462/klagomålsmail/A 12617-2023 FSC-klagomål mail.docx", "A 12617-2023")</f>
        <v/>
      </c>
      <c r="X7">
        <f>HYPERLINK("https://klasma.github.io/Logging_1462/tillsyn/A 12617-2023 tillsynsbegäran.docx", "A 12617-2023")</f>
        <v/>
      </c>
      <c r="Y7">
        <f>HYPERLINK("https://klasma.github.io/Logging_1462/tillsynsmail/A 12617-2023 tillsynsbegäran mail.docx", "A 12617-2023")</f>
        <v/>
      </c>
    </row>
    <row r="8" ht="15" customHeight="1">
      <c r="A8" t="inlineStr">
        <is>
          <t>A 11650-2019</t>
        </is>
      </c>
      <c r="B8" s="1" t="n">
        <v>43518</v>
      </c>
      <c r="C8" s="1" t="n">
        <v>45291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Klippfrullania</t>
        </is>
      </c>
      <c r="S8">
        <f>HYPERLINK("https://klasma.github.io/Logging_1462/artfynd/A 11650-2019 artfynd.xlsx", "A 11650-2019")</f>
        <v/>
      </c>
      <c r="T8">
        <f>HYPERLINK("https://klasma.github.io/Logging_1462/kartor/A 11650-2019 karta.png", "A 11650-2019")</f>
        <v/>
      </c>
      <c r="V8">
        <f>HYPERLINK("https://klasma.github.io/Logging_1462/klagomål/A 11650-2019 FSC-klagomål.docx", "A 11650-2019")</f>
        <v/>
      </c>
      <c r="W8">
        <f>HYPERLINK("https://klasma.github.io/Logging_1462/klagomålsmail/A 11650-2019 FSC-klagomål mail.docx", "A 11650-2019")</f>
        <v/>
      </c>
      <c r="X8">
        <f>HYPERLINK("https://klasma.github.io/Logging_1462/tillsyn/A 11650-2019 tillsynsbegäran.docx", "A 11650-2019")</f>
        <v/>
      </c>
      <c r="Y8">
        <f>HYPERLINK("https://klasma.github.io/Logging_1462/tillsynsmail/A 11650-2019 tillsynsbegäran mail.docx", "A 11650-2019")</f>
        <v/>
      </c>
    </row>
    <row r="9" ht="15" customHeight="1">
      <c r="A9" t="inlineStr">
        <is>
          <t>A 11312-2020</t>
        </is>
      </c>
      <c r="B9" s="1" t="n">
        <v>43892</v>
      </c>
      <c r="C9" s="1" t="n">
        <v>45291</v>
      </c>
      <c r="D9" t="inlineStr">
        <is>
          <t>VÄSTRA GÖTALANDS LÄN</t>
        </is>
      </c>
      <c r="E9" t="inlineStr">
        <is>
          <t>LILLA EDET</t>
        </is>
      </c>
      <c r="G9" t="n">
        <v>11.3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Smal svampklubba</t>
        </is>
      </c>
      <c r="S9">
        <f>HYPERLINK("https://klasma.github.io/Logging_1462/artfynd/A 11312-2020 artfynd.xlsx", "A 11312-2020")</f>
        <v/>
      </c>
      <c r="T9">
        <f>HYPERLINK("https://klasma.github.io/Logging_1462/kartor/A 11312-2020 karta.png", "A 11312-2020")</f>
        <v/>
      </c>
      <c r="V9">
        <f>HYPERLINK("https://klasma.github.io/Logging_1462/klagomål/A 11312-2020 FSC-klagomål.docx", "A 11312-2020")</f>
        <v/>
      </c>
      <c r="W9">
        <f>HYPERLINK("https://klasma.github.io/Logging_1462/klagomålsmail/A 11312-2020 FSC-klagomål mail.docx", "A 11312-2020")</f>
        <v/>
      </c>
      <c r="X9">
        <f>HYPERLINK("https://klasma.github.io/Logging_1462/tillsyn/A 11312-2020 tillsynsbegäran.docx", "A 11312-2020")</f>
        <v/>
      </c>
      <c r="Y9">
        <f>HYPERLINK("https://klasma.github.io/Logging_1462/tillsynsmail/A 11312-2020 tillsynsbegäran mail.docx", "A 11312-2020")</f>
        <v/>
      </c>
    </row>
    <row r="10" ht="15" customHeight="1">
      <c r="A10" t="inlineStr">
        <is>
          <t>A 2381-2021</t>
        </is>
      </c>
      <c r="B10" s="1" t="n">
        <v>44211</v>
      </c>
      <c r="C10" s="1" t="n">
        <v>45291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Bergjohannesört</t>
        </is>
      </c>
      <c r="S10">
        <f>HYPERLINK("https://klasma.github.io/Logging_1462/artfynd/A 2381-2021 artfynd.xlsx", "A 2381-2021")</f>
        <v/>
      </c>
      <c r="T10">
        <f>HYPERLINK("https://klasma.github.io/Logging_1462/kartor/A 2381-2021 karta.png", "A 2381-2021")</f>
        <v/>
      </c>
      <c r="V10">
        <f>HYPERLINK("https://klasma.github.io/Logging_1462/klagomål/A 2381-2021 FSC-klagomål.docx", "A 2381-2021")</f>
        <v/>
      </c>
      <c r="W10">
        <f>HYPERLINK("https://klasma.github.io/Logging_1462/klagomålsmail/A 2381-2021 FSC-klagomål mail.docx", "A 2381-2021")</f>
        <v/>
      </c>
      <c r="X10">
        <f>HYPERLINK("https://klasma.github.io/Logging_1462/tillsyn/A 2381-2021 tillsynsbegäran.docx", "A 2381-2021")</f>
        <v/>
      </c>
      <c r="Y10">
        <f>HYPERLINK("https://klasma.github.io/Logging_1462/tillsynsmail/A 2381-2021 tillsynsbegäran mail.docx", "A 2381-2021")</f>
        <v/>
      </c>
    </row>
    <row r="11" ht="15" customHeight="1">
      <c r="A11" t="inlineStr">
        <is>
          <t>A 30273-2022</t>
        </is>
      </c>
      <c r="B11" s="1" t="n">
        <v>44759</v>
      </c>
      <c r="C11" s="1" t="n">
        <v>45291</v>
      </c>
      <c r="D11" t="inlineStr">
        <is>
          <t>VÄSTRA GÖTALANDS LÄN</t>
        </is>
      </c>
      <c r="E11" t="inlineStr">
        <is>
          <t>LILLA EDET</t>
        </is>
      </c>
      <c r="G11" t="n">
        <v>12.5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HYPERLINK("https://klasma.github.io/Logging_1462/artfynd/A 30273-2022 artfynd.xlsx", "A 30273-2022")</f>
        <v/>
      </c>
      <c r="T11">
        <f>HYPERLINK("https://klasma.github.io/Logging_1462/kartor/A 30273-2022 karta.png", "A 30273-2022")</f>
        <v/>
      </c>
      <c r="V11">
        <f>HYPERLINK("https://klasma.github.io/Logging_1462/klagomål/A 30273-2022 FSC-klagomål.docx", "A 30273-2022")</f>
        <v/>
      </c>
      <c r="W11">
        <f>HYPERLINK("https://klasma.github.io/Logging_1462/klagomålsmail/A 30273-2022 FSC-klagomål mail.docx", "A 30273-2022")</f>
        <v/>
      </c>
      <c r="X11">
        <f>HYPERLINK("https://klasma.github.io/Logging_1462/tillsyn/A 30273-2022 tillsynsbegäran.docx", "A 30273-2022")</f>
        <v/>
      </c>
      <c r="Y11">
        <f>HYPERLINK("https://klasma.github.io/Logging_1462/tillsynsmail/A 30273-2022 tillsynsbegäran mail.docx", "A 30273-2022")</f>
        <v/>
      </c>
    </row>
    <row r="12" ht="15" customHeight="1">
      <c r="A12" t="inlineStr">
        <is>
          <t>A 25655-2023</t>
        </is>
      </c>
      <c r="B12" s="1" t="n">
        <v>45089</v>
      </c>
      <c r="C12" s="1" t="n">
        <v>45291</v>
      </c>
      <c r="D12" t="inlineStr">
        <is>
          <t>VÄSTRA GÖTALANDS LÄN</t>
        </is>
      </c>
      <c r="E12" t="inlineStr">
        <is>
          <t>LILLA EDET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25655-2023 artfynd.xlsx", "A 25655-2023")</f>
        <v/>
      </c>
      <c r="T12">
        <f>HYPERLINK("https://klasma.github.io/Logging_1462/kartor/A 25655-2023 karta.png", "A 25655-2023")</f>
        <v/>
      </c>
      <c r="V12">
        <f>HYPERLINK("https://klasma.github.io/Logging_1462/klagomål/A 25655-2023 FSC-klagomål.docx", "A 25655-2023")</f>
        <v/>
      </c>
      <c r="W12">
        <f>HYPERLINK("https://klasma.github.io/Logging_1462/klagomålsmail/A 25655-2023 FSC-klagomål mail.docx", "A 25655-2023")</f>
        <v/>
      </c>
      <c r="X12">
        <f>HYPERLINK("https://klasma.github.io/Logging_1462/tillsyn/A 25655-2023 tillsynsbegäran.docx", "A 25655-2023")</f>
        <v/>
      </c>
      <c r="Y12">
        <f>HYPERLINK("https://klasma.github.io/Logging_1462/tillsynsmail/A 25655-2023 tillsynsbegäran mail.docx", "A 25655-2023")</f>
        <v/>
      </c>
    </row>
    <row r="13" ht="15" customHeight="1">
      <c r="A13" t="inlineStr">
        <is>
          <t>A 36520-2018</t>
        </is>
      </c>
      <c r="B13" s="1" t="n">
        <v>43328</v>
      </c>
      <c r="C13" s="1" t="n">
        <v>45291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42310-2018</t>
        </is>
      </c>
      <c r="B14" s="1" t="n">
        <v>43349</v>
      </c>
      <c r="C14" s="1" t="n">
        <v>45291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53213-2018</t>
        </is>
      </c>
      <c r="B15" s="1" t="n">
        <v>43390</v>
      </c>
      <c r="C15" s="1" t="n">
        <v>45291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59103-2018</t>
        </is>
      </c>
      <c r="B16" s="1" t="n">
        <v>43411</v>
      </c>
      <c r="C16" s="1" t="n">
        <v>45291</v>
      </c>
      <c r="D16" t="inlineStr">
        <is>
          <t>VÄSTRA GÖTALANDS LÄN</t>
        </is>
      </c>
      <c r="E16" t="inlineStr">
        <is>
          <t>LILLA EDET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59332-2018</t>
        </is>
      </c>
      <c r="B17" s="1" t="n">
        <v>43411</v>
      </c>
      <c r="C17" s="1" t="n">
        <v>45291</v>
      </c>
      <c r="D17" t="inlineStr">
        <is>
          <t>VÄSTRA GÖTALANDS LÄN</t>
        </is>
      </c>
      <c r="E17" t="inlineStr">
        <is>
          <t>LILLA EDET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60139-2018</t>
        </is>
      </c>
      <c r="B18" s="1" t="n">
        <v>43412</v>
      </c>
      <c r="C18" s="1" t="n">
        <v>45291</v>
      </c>
      <c r="D18" t="inlineStr">
        <is>
          <t>VÄSTRA GÖTALANDS LÄN</t>
        </is>
      </c>
      <c r="E18" t="inlineStr">
        <is>
          <t>LILLA EDET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62490-2018</t>
        </is>
      </c>
      <c r="B19" s="1" t="n">
        <v>43415</v>
      </c>
      <c r="C19" s="1" t="n">
        <v>45291</v>
      </c>
      <c r="D19" t="inlineStr">
        <is>
          <t>VÄSTRA GÖTALANDS LÄN</t>
        </is>
      </c>
      <c r="E19" t="inlineStr">
        <is>
          <t>LILLA EDET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59435-2018</t>
        </is>
      </c>
      <c r="B20" s="1" t="n">
        <v>43419</v>
      </c>
      <c r="C20" s="1" t="n">
        <v>45291</v>
      </c>
      <c r="D20" t="inlineStr">
        <is>
          <t>VÄSTRA GÖTALANDS LÄN</t>
        </is>
      </c>
      <c r="E20" t="inlineStr">
        <is>
          <t>LILLA EDET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64350-2018</t>
        </is>
      </c>
      <c r="B21" s="1" t="n">
        <v>43419</v>
      </c>
      <c r="C21" s="1" t="n">
        <v>45291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101-2019</t>
        </is>
      </c>
      <c r="B22" s="1" t="n">
        <v>43467</v>
      </c>
      <c r="C22" s="1" t="n">
        <v>45291</v>
      </c>
      <c r="D22" t="inlineStr">
        <is>
          <t>VÄSTRA GÖTALANDS LÄN</t>
        </is>
      </c>
      <c r="E22" t="inlineStr">
        <is>
          <t>LILLA EDET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1855-2019</t>
        </is>
      </c>
      <c r="B23" s="1" t="n">
        <v>43474</v>
      </c>
      <c r="C23" s="1" t="n">
        <v>45291</v>
      </c>
      <c r="D23" t="inlineStr">
        <is>
          <t>VÄSTRA GÖTALANDS LÄN</t>
        </is>
      </c>
      <c r="E23" t="inlineStr">
        <is>
          <t>LILLA EDET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5710-2019</t>
        </is>
      </c>
      <c r="B24" s="1" t="n">
        <v>43490</v>
      </c>
      <c r="C24" s="1" t="n">
        <v>45291</v>
      </c>
      <c r="D24" t="inlineStr">
        <is>
          <t>VÄSTRA GÖTALANDS LÄN</t>
        </is>
      </c>
      <c r="E24" t="inlineStr">
        <is>
          <t>LILLA EDET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5719-2019</t>
        </is>
      </c>
      <c r="B25" s="1" t="n">
        <v>43490</v>
      </c>
      <c r="C25" s="1" t="n">
        <v>45291</v>
      </c>
      <c r="D25" t="inlineStr">
        <is>
          <t>VÄSTRA GÖTALANDS LÄN</t>
        </is>
      </c>
      <c r="E25" t="inlineStr">
        <is>
          <t>LILLA EDET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6844-2019</t>
        </is>
      </c>
      <c r="B26" s="1" t="n">
        <v>43495</v>
      </c>
      <c r="C26" s="1" t="n">
        <v>45291</v>
      </c>
      <c r="D26" t="inlineStr">
        <is>
          <t>VÄSTRA GÖTALANDS LÄN</t>
        </is>
      </c>
      <c r="E26" t="inlineStr">
        <is>
          <t>LILLA EDET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13579-2019</t>
        </is>
      </c>
      <c r="B27" s="1" t="n">
        <v>43530</v>
      </c>
      <c r="C27" s="1" t="n">
        <v>45291</v>
      </c>
      <c r="D27" t="inlineStr">
        <is>
          <t>VÄSTRA GÖTALANDS LÄN</t>
        </is>
      </c>
      <c r="E27" t="inlineStr">
        <is>
          <t>LILLA EDET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16472-2019</t>
        </is>
      </c>
      <c r="B28" s="1" t="n">
        <v>43546</v>
      </c>
      <c r="C28" s="1" t="n">
        <v>45291</v>
      </c>
      <c r="D28" t="inlineStr">
        <is>
          <t>VÄSTRA GÖTALANDS LÄN</t>
        </is>
      </c>
      <c r="E28" t="inlineStr">
        <is>
          <t>LILLA EDET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16657-2019</t>
        </is>
      </c>
      <c r="B29" s="1" t="n">
        <v>43549</v>
      </c>
      <c r="C29" s="1" t="n">
        <v>45291</v>
      </c>
      <c r="D29" t="inlineStr">
        <is>
          <t>VÄSTRA GÖTALANDS LÄN</t>
        </is>
      </c>
      <c r="E29" t="inlineStr">
        <is>
          <t>LILLA EDET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19160-2019</t>
        </is>
      </c>
      <c r="B30" s="1" t="n">
        <v>43564</v>
      </c>
      <c r="C30" s="1" t="n">
        <v>45291</v>
      </c>
      <c r="D30" t="inlineStr">
        <is>
          <t>VÄSTRA GÖTALANDS LÄN</t>
        </is>
      </c>
      <c r="E30" t="inlineStr">
        <is>
          <t>LILLA EDET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19186-2019</t>
        </is>
      </c>
      <c r="B31" s="1" t="n">
        <v>43564</v>
      </c>
      <c r="C31" s="1" t="n">
        <v>45291</v>
      </c>
      <c r="D31" t="inlineStr">
        <is>
          <t>VÄSTRA GÖTALANDS LÄN</t>
        </is>
      </c>
      <c r="E31" t="inlineStr">
        <is>
          <t>LILLA EDET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20436-2019</t>
        </is>
      </c>
      <c r="B32" s="1" t="n">
        <v>43571</v>
      </c>
      <c r="C32" s="1" t="n">
        <v>45291</v>
      </c>
      <c r="D32" t="inlineStr">
        <is>
          <t>VÄSTRA GÖTALANDS LÄN</t>
        </is>
      </c>
      <c r="E32" t="inlineStr">
        <is>
          <t>LILLA EDET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21178-2019</t>
        </is>
      </c>
      <c r="B33" s="1" t="n">
        <v>43579</v>
      </c>
      <c r="C33" s="1" t="n">
        <v>45291</v>
      </c>
      <c r="D33" t="inlineStr">
        <is>
          <t>VÄSTRA GÖTALANDS LÄN</t>
        </is>
      </c>
      <c r="E33" t="inlineStr">
        <is>
          <t>LILLA EDET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22321-2019</t>
        </is>
      </c>
      <c r="B34" s="1" t="n">
        <v>43586</v>
      </c>
      <c r="C34" s="1" t="n">
        <v>45291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26881-2019</t>
        </is>
      </c>
      <c r="B35" s="1" t="n">
        <v>43613</v>
      </c>
      <c r="C35" s="1" t="n">
        <v>45291</v>
      </c>
      <c r="D35" t="inlineStr">
        <is>
          <t>VÄSTRA GÖTALANDS LÄN</t>
        </is>
      </c>
      <c r="E35" t="inlineStr">
        <is>
          <t>LILLA EDET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30191-2019</t>
        </is>
      </c>
      <c r="B36" s="1" t="n">
        <v>43634</v>
      </c>
      <c r="C36" s="1" t="n">
        <v>45291</v>
      </c>
      <c r="D36" t="inlineStr">
        <is>
          <t>VÄSTRA GÖTALANDS LÄN</t>
        </is>
      </c>
      <c r="E36" t="inlineStr">
        <is>
          <t>LILLA EDET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32929-2019</t>
        </is>
      </c>
      <c r="B37" s="1" t="n">
        <v>43648</v>
      </c>
      <c r="C37" s="1" t="n">
        <v>45291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34254-2019</t>
        </is>
      </c>
      <c r="B38" s="1" t="n">
        <v>43655</v>
      </c>
      <c r="C38" s="1" t="n">
        <v>45291</v>
      </c>
      <c r="D38" t="inlineStr">
        <is>
          <t>VÄSTRA GÖTALANDS LÄN</t>
        </is>
      </c>
      <c r="E38" t="inlineStr">
        <is>
          <t>LILLA EDET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39542-2019</t>
        </is>
      </c>
      <c r="B39" s="1" t="n">
        <v>43691</v>
      </c>
      <c r="C39" s="1" t="n">
        <v>45291</v>
      </c>
      <c r="D39" t="inlineStr">
        <is>
          <t>VÄSTRA GÖTALANDS LÄN</t>
        </is>
      </c>
      <c r="E39" t="inlineStr">
        <is>
          <t>LILLA EDET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57036-2019</t>
        </is>
      </c>
      <c r="B40" s="1" t="n">
        <v>43766</v>
      </c>
      <c r="C40" s="1" t="n">
        <v>45291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57033-2019</t>
        </is>
      </c>
      <c r="B41" s="1" t="n">
        <v>43766</v>
      </c>
      <c r="C41" s="1" t="n">
        <v>45291</v>
      </c>
      <c r="D41" t="inlineStr">
        <is>
          <t>VÄSTRA GÖTALANDS LÄN</t>
        </is>
      </c>
      <c r="E41" t="inlineStr">
        <is>
          <t>LILLA EDET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59507-2019</t>
        </is>
      </c>
      <c r="B42" s="1" t="n">
        <v>43773</v>
      </c>
      <c r="C42" s="1" t="n">
        <v>45291</v>
      </c>
      <c r="D42" t="inlineStr">
        <is>
          <t>VÄSTRA GÖTALANDS LÄN</t>
        </is>
      </c>
      <c r="E42" t="inlineStr">
        <is>
          <t>LILLA EDET</t>
        </is>
      </c>
      <c r="F42" t="inlineStr">
        <is>
          <t>Kyrkan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59975-2019</t>
        </is>
      </c>
      <c r="B43" s="1" t="n">
        <v>43777</v>
      </c>
      <c r="C43" s="1" t="n">
        <v>45291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61643-2019</t>
        </is>
      </c>
      <c r="B44" s="1" t="n">
        <v>43784</v>
      </c>
      <c r="C44" s="1" t="n">
        <v>45291</v>
      </c>
      <c r="D44" t="inlineStr">
        <is>
          <t>VÄSTRA GÖTALANDS LÄN</t>
        </is>
      </c>
      <c r="E44" t="inlineStr">
        <is>
          <t>LILLA EDET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65696-2019</t>
        </is>
      </c>
      <c r="B45" s="1" t="n">
        <v>43804</v>
      </c>
      <c r="C45" s="1" t="n">
        <v>45291</v>
      </c>
      <c r="D45" t="inlineStr">
        <is>
          <t>VÄSTRA GÖTALANDS LÄN</t>
        </is>
      </c>
      <c r="E45" t="inlineStr">
        <is>
          <t>LILLA EDET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66741-2019</t>
        </is>
      </c>
      <c r="B46" s="1" t="n">
        <v>43810</v>
      </c>
      <c r="C46" s="1" t="n">
        <v>45291</v>
      </c>
      <c r="D46" t="inlineStr">
        <is>
          <t>VÄSTRA GÖTALANDS LÄN</t>
        </is>
      </c>
      <c r="E46" t="inlineStr">
        <is>
          <t>LILLA EDET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68256-2019</t>
        </is>
      </c>
      <c r="B47" s="1" t="n">
        <v>43817</v>
      </c>
      <c r="C47" s="1" t="n">
        <v>45291</v>
      </c>
      <c r="D47" t="inlineStr">
        <is>
          <t>VÄSTRA GÖTALANDS LÄN</t>
        </is>
      </c>
      <c r="E47" t="inlineStr">
        <is>
          <t>LILLA EDET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68978-2019</t>
        </is>
      </c>
      <c r="B48" s="1" t="n">
        <v>43824</v>
      </c>
      <c r="C48" s="1" t="n">
        <v>45291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69030-2019</t>
        </is>
      </c>
      <c r="B49" s="1" t="n">
        <v>43826</v>
      </c>
      <c r="C49" s="1" t="n">
        <v>45291</v>
      </c>
      <c r="D49" t="inlineStr">
        <is>
          <t>VÄSTRA GÖTALANDS LÄN</t>
        </is>
      </c>
      <c r="E49" t="inlineStr">
        <is>
          <t>LILLA EDET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2328-2020</t>
        </is>
      </c>
      <c r="B50" s="1" t="n">
        <v>43840</v>
      </c>
      <c r="C50" s="1" t="n">
        <v>45291</v>
      </c>
      <c r="D50" t="inlineStr">
        <is>
          <t>VÄSTRA GÖTALANDS LÄN</t>
        </is>
      </c>
      <c r="E50" t="inlineStr">
        <is>
          <t>LILLA EDET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6398-2020</t>
        </is>
      </c>
      <c r="B51" s="1" t="n">
        <v>43865</v>
      </c>
      <c r="C51" s="1" t="n">
        <v>45291</v>
      </c>
      <c r="D51" t="inlineStr">
        <is>
          <t>VÄSTRA GÖTALANDS LÄN</t>
        </is>
      </c>
      <c r="E51" t="inlineStr">
        <is>
          <t>LILLA EDET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6415-2020</t>
        </is>
      </c>
      <c r="B52" s="1" t="n">
        <v>43865</v>
      </c>
      <c r="C52" s="1" t="n">
        <v>45291</v>
      </c>
      <c r="D52" t="inlineStr">
        <is>
          <t>VÄSTRA GÖTALANDS LÄN</t>
        </is>
      </c>
      <c r="E52" t="inlineStr">
        <is>
          <t>LILLA EDET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6475-2020</t>
        </is>
      </c>
      <c r="B53" s="1" t="n">
        <v>43866</v>
      </c>
      <c r="C53" s="1" t="n">
        <v>45291</v>
      </c>
      <c r="D53" t="inlineStr">
        <is>
          <t>VÄSTRA GÖTALANDS LÄN</t>
        </is>
      </c>
      <c r="E53" t="inlineStr">
        <is>
          <t>LILLA EDET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8773-2020</t>
        </is>
      </c>
      <c r="B54" s="1" t="n">
        <v>43878</v>
      </c>
      <c r="C54" s="1" t="n">
        <v>45291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10609-2020</t>
        </is>
      </c>
      <c r="B55" s="1" t="n">
        <v>43887</v>
      </c>
      <c r="C55" s="1" t="n">
        <v>45291</v>
      </c>
      <c r="D55" t="inlineStr">
        <is>
          <t>VÄSTRA GÖTALANDS LÄN</t>
        </is>
      </c>
      <c r="E55" t="inlineStr">
        <is>
          <t>LILLA EDET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11315-2020</t>
        </is>
      </c>
      <c r="B56" s="1" t="n">
        <v>43892</v>
      </c>
      <c r="C56" s="1" t="n">
        <v>45291</v>
      </c>
      <c r="D56" t="inlineStr">
        <is>
          <t>VÄSTRA GÖTALANDS LÄN</t>
        </is>
      </c>
      <c r="E56" t="inlineStr">
        <is>
          <t>LILLA EDET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12932-2020</t>
        </is>
      </c>
      <c r="B57" s="1" t="n">
        <v>43900</v>
      </c>
      <c r="C57" s="1" t="n">
        <v>45291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14772-2020</t>
        </is>
      </c>
      <c r="B58" s="1" t="n">
        <v>43909</v>
      </c>
      <c r="C58" s="1" t="n">
        <v>45291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16914-2020</t>
        </is>
      </c>
      <c r="B59" s="1" t="n">
        <v>43913</v>
      </c>
      <c r="C59" s="1" t="n">
        <v>45291</v>
      </c>
      <c r="D59" t="inlineStr">
        <is>
          <t>VÄSTRA GÖTALANDS LÄN</t>
        </is>
      </c>
      <c r="E59" t="inlineStr">
        <is>
          <t>LILLA EDET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17411-2020</t>
        </is>
      </c>
      <c r="B60" s="1" t="n">
        <v>43917</v>
      </c>
      <c r="C60" s="1" t="n">
        <v>45291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16426-2020</t>
        </is>
      </c>
      <c r="B61" s="1" t="n">
        <v>43919</v>
      </c>
      <c r="C61" s="1" t="n">
        <v>45291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17657-2020</t>
        </is>
      </c>
      <c r="B62" s="1" t="n">
        <v>43923</v>
      </c>
      <c r="C62" s="1" t="n">
        <v>45291</v>
      </c>
      <c r="D62" t="inlineStr">
        <is>
          <t>VÄSTRA GÖTALANDS LÄN</t>
        </is>
      </c>
      <c r="E62" t="inlineStr">
        <is>
          <t>LILLA EDET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17659-2020</t>
        </is>
      </c>
      <c r="B63" s="1" t="n">
        <v>43923</v>
      </c>
      <c r="C63" s="1" t="n">
        <v>45291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19718-2020</t>
        </is>
      </c>
      <c r="B64" s="1" t="n">
        <v>43941</v>
      </c>
      <c r="C64" s="1" t="n">
        <v>45291</v>
      </c>
      <c r="D64" t="inlineStr">
        <is>
          <t>VÄSTRA GÖTALANDS LÄN</t>
        </is>
      </c>
      <c r="E64" t="inlineStr">
        <is>
          <t>LILLA EDET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20994-2020</t>
        </is>
      </c>
      <c r="B65" s="1" t="n">
        <v>43950</v>
      </c>
      <c r="C65" s="1" t="n">
        <v>45291</v>
      </c>
      <c r="D65" t="inlineStr">
        <is>
          <t>VÄSTRA GÖTALANDS LÄN</t>
        </is>
      </c>
      <c r="E65" t="inlineStr">
        <is>
          <t>LILLA EDET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20992-2020</t>
        </is>
      </c>
      <c r="B66" s="1" t="n">
        <v>43950</v>
      </c>
      <c r="C66" s="1" t="n">
        <v>45291</v>
      </c>
      <c r="D66" t="inlineStr">
        <is>
          <t>VÄSTRA GÖTALANDS LÄN</t>
        </is>
      </c>
      <c r="E66" t="inlineStr">
        <is>
          <t>LILLA EDET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21563-2020</t>
        </is>
      </c>
      <c r="B67" s="1" t="n">
        <v>43956</v>
      </c>
      <c r="C67" s="1" t="n">
        <v>45291</v>
      </c>
      <c r="D67" t="inlineStr">
        <is>
          <t>VÄSTRA GÖTALANDS LÄN</t>
        </is>
      </c>
      <c r="E67" t="inlineStr">
        <is>
          <t>LILLA EDET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21606-2020</t>
        </is>
      </c>
      <c r="B68" s="1" t="n">
        <v>43957</v>
      </c>
      <c r="C68" s="1" t="n">
        <v>45291</v>
      </c>
      <c r="D68" t="inlineStr">
        <is>
          <t>VÄSTRA GÖTALANDS LÄN</t>
        </is>
      </c>
      <c r="E68" t="inlineStr">
        <is>
          <t>LILLA EDET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22519-2020</t>
        </is>
      </c>
      <c r="B69" s="1" t="n">
        <v>43959</v>
      </c>
      <c r="C69" s="1" t="n">
        <v>45291</v>
      </c>
      <c r="D69" t="inlineStr">
        <is>
          <t>VÄSTRA GÖTALANDS LÄN</t>
        </is>
      </c>
      <c r="E69" t="inlineStr">
        <is>
          <t>LILLA EDET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24357-2020</t>
        </is>
      </c>
      <c r="B70" s="1" t="n">
        <v>43976</v>
      </c>
      <c r="C70" s="1" t="n">
        <v>45291</v>
      </c>
      <c r="D70" t="inlineStr">
        <is>
          <t>VÄSTRA GÖTALANDS LÄN</t>
        </is>
      </c>
      <c r="E70" t="inlineStr">
        <is>
          <t>LILLA EDET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31476-2020</t>
        </is>
      </c>
      <c r="B71" s="1" t="n">
        <v>44013</v>
      </c>
      <c r="C71" s="1" t="n">
        <v>45291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35756-2020</t>
        </is>
      </c>
      <c r="B72" s="1" t="n">
        <v>44046</v>
      </c>
      <c r="C72" s="1" t="n">
        <v>45291</v>
      </c>
      <c r="D72" t="inlineStr">
        <is>
          <t>VÄSTRA GÖTALANDS LÄN</t>
        </is>
      </c>
      <c r="E72" t="inlineStr">
        <is>
          <t>LILLA EDET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36395-2020</t>
        </is>
      </c>
      <c r="B73" s="1" t="n">
        <v>44049</v>
      </c>
      <c r="C73" s="1" t="n">
        <v>45291</v>
      </c>
      <c r="D73" t="inlineStr">
        <is>
          <t>VÄSTRA GÖTALANDS LÄN</t>
        </is>
      </c>
      <c r="E73" t="inlineStr">
        <is>
          <t>LILLA EDET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36583-2020</t>
        </is>
      </c>
      <c r="B74" s="1" t="n">
        <v>44050</v>
      </c>
      <c r="C74" s="1" t="n">
        <v>45291</v>
      </c>
      <c r="D74" t="inlineStr">
        <is>
          <t>VÄSTRA GÖTALANDS LÄN</t>
        </is>
      </c>
      <c r="E74" t="inlineStr">
        <is>
          <t>LILLA EDET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51135-2020</t>
        </is>
      </c>
      <c r="B75" s="1" t="n">
        <v>44112</v>
      </c>
      <c r="C75" s="1" t="n">
        <v>45291</v>
      </c>
      <c r="D75" t="inlineStr">
        <is>
          <t>VÄSTRA GÖTALANDS LÄN</t>
        </is>
      </c>
      <c r="E75" t="inlineStr">
        <is>
          <t>LILLA EDET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51139-2020</t>
        </is>
      </c>
      <c r="B76" s="1" t="n">
        <v>44112</v>
      </c>
      <c r="C76" s="1" t="n">
        <v>45291</v>
      </c>
      <c r="D76" t="inlineStr">
        <is>
          <t>VÄSTRA GÖTALANDS LÄN</t>
        </is>
      </c>
      <c r="E76" t="inlineStr">
        <is>
          <t>LILLA EDET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55277-2020</t>
        </is>
      </c>
      <c r="B77" s="1" t="n">
        <v>44130</v>
      </c>
      <c r="C77" s="1" t="n">
        <v>45291</v>
      </c>
      <c r="D77" t="inlineStr">
        <is>
          <t>VÄSTRA GÖTALANDS LÄN</t>
        </is>
      </c>
      <c r="E77" t="inlineStr">
        <is>
          <t>LILLA EDET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57131-2020</t>
        </is>
      </c>
      <c r="B78" s="1" t="n">
        <v>44139</v>
      </c>
      <c r="C78" s="1" t="n">
        <v>45291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58141-2020</t>
        </is>
      </c>
      <c r="B79" s="1" t="n">
        <v>44144</v>
      </c>
      <c r="C79" s="1" t="n">
        <v>45291</v>
      </c>
      <c r="D79" t="inlineStr">
        <is>
          <t>VÄSTRA GÖTALANDS LÄN</t>
        </is>
      </c>
      <c r="E79" t="inlineStr">
        <is>
          <t>LILLA EDET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59232-2020</t>
        </is>
      </c>
      <c r="B80" s="1" t="n">
        <v>44147</v>
      </c>
      <c r="C80" s="1" t="n">
        <v>45291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60705-2020</t>
        </is>
      </c>
      <c r="B81" s="1" t="n">
        <v>44153</v>
      </c>
      <c r="C81" s="1" t="n">
        <v>45291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62919-2020</t>
        </is>
      </c>
      <c r="B82" s="1" t="n">
        <v>44162</v>
      </c>
      <c r="C82" s="1" t="n">
        <v>45291</v>
      </c>
      <c r="D82" t="inlineStr">
        <is>
          <t>VÄSTRA GÖTALANDS LÄN</t>
        </is>
      </c>
      <c r="E82" t="inlineStr">
        <is>
          <t>LILLA EDET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65883-2020</t>
        </is>
      </c>
      <c r="B83" s="1" t="n">
        <v>44174</v>
      </c>
      <c r="C83" s="1" t="n">
        <v>45291</v>
      </c>
      <c r="D83" t="inlineStr">
        <is>
          <t>VÄSTRA GÖTALANDS LÄN</t>
        </is>
      </c>
      <c r="E83" t="inlineStr">
        <is>
          <t>LILLA EDET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69604-2020</t>
        </is>
      </c>
      <c r="B84" s="1" t="n">
        <v>44195</v>
      </c>
      <c r="C84" s="1" t="n">
        <v>45291</v>
      </c>
      <c r="D84" t="inlineStr">
        <is>
          <t>VÄSTRA GÖTALANDS LÄN</t>
        </is>
      </c>
      <c r="E84" t="inlineStr">
        <is>
          <t>LILLA EDET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69576-2020</t>
        </is>
      </c>
      <c r="B85" s="1" t="n">
        <v>44195</v>
      </c>
      <c r="C85" s="1" t="n">
        <v>45291</v>
      </c>
      <c r="D85" t="inlineStr">
        <is>
          <t>VÄSTRA GÖTALANDS LÄN</t>
        </is>
      </c>
      <c r="E85" t="inlineStr">
        <is>
          <t>LILLA EDET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1262-2021</t>
        </is>
      </c>
      <c r="B86" s="1" t="n">
        <v>44208</v>
      </c>
      <c r="C86" s="1" t="n">
        <v>45291</v>
      </c>
      <c r="D86" t="inlineStr">
        <is>
          <t>VÄSTRA GÖTALANDS LÄN</t>
        </is>
      </c>
      <c r="E86" t="inlineStr">
        <is>
          <t>LILLA EDET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1574-2021</t>
        </is>
      </c>
      <c r="B87" s="1" t="n">
        <v>44209</v>
      </c>
      <c r="C87" s="1" t="n">
        <v>45291</v>
      </c>
      <c r="D87" t="inlineStr">
        <is>
          <t>VÄSTRA GÖTALANDS LÄN</t>
        </is>
      </c>
      <c r="E87" t="inlineStr">
        <is>
          <t>LILLA EDET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6193-2021</t>
        </is>
      </c>
      <c r="B88" s="1" t="n">
        <v>44234</v>
      </c>
      <c r="C88" s="1" t="n">
        <v>45291</v>
      </c>
      <c r="D88" t="inlineStr">
        <is>
          <t>VÄSTRA GÖTALANDS LÄN</t>
        </is>
      </c>
      <c r="E88" t="inlineStr">
        <is>
          <t>LILLA EDET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7832-2021</t>
        </is>
      </c>
      <c r="B89" s="1" t="n">
        <v>44242</v>
      </c>
      <c r="C89" s="1" t="n">
        <v>45291</v>
      </c>
      <c r="D89" t="inlineStr">
        <is>
          <t>VÄSTRA GÖTALANDS LÄN</t>
        </is>
      </c>
      <c r="E89" t="inlineStr">
        <is>
          <t>LILLA EDET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9541-2021</t>
        </is>
      </c>
      <c r="B90" s="1" t="n">
        <v>44251</v>
      </c>
      <c r="C90" s="1" t="n">
        <v>45291</v>
      </c>
      <c r="D90" t="inlineStr">
        <is>
          <t>VÄSTRA GÖTALANDS LÄN</t>
        </is>
      </c>
      <c r="E90" t="inlineStr">
        <is>
          <t>LILLA EDET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9801-2021</t>
        </is>
      </c>
      <c r="B91" s="1" t="n">
        <v>44252</v>
      </c>
      <c r="C91" s="1" t="n">
        <v>45291</v>
      </c>
      <c r="D91" t="inlineStr">
        <is>
          <t>VÄSTRA GÖTALANDS LÄN</t>
        </is>
      </c>
      <c r="E91" t="inlineStr">
        <is>
          <t>LILLA EDET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10023-2021</t>
        </is>
      </c>
      <c r="B92" s="1" t="n">
        <v>44256</v>
      </c>
      <c r="C92" s="1" t="n">
        <v>45291</v>
      </c>
      <c r="D92" t="inlineStr">
        <is>
          <t>VÄSTRA GÖTALANDS LÄN</t>
        </is>
      </c>
      <c r="E92" t="inlineStr">
        <is>
          <t>LILLA EDET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14716-2021</t>
        </is>
      </c>
      <c r="B93" s="1" t="n">
        <v>44280</v>
      </c>
      <c r="C93" s="1" t="n">
        <v>45291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17180-2021</t>
        </is>
      </c>
      <c r="B94" s="1" t="n">
        <v>44298</v>
      </c>
      <c r="C94" s="1" t="n">
        <v>45291</v>
      </c>
      <c r="D94" t="inlineStr">
        <is>
          <t>VÄSTRA GÖTALANDS LÄN</t>
        </is>
      </c>
      <c r="E94" t="inlineStr">
        <is>
          <t>LILLA EDET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17510-2021</t>
        </is>
      </c>
      <c r="B95" s="1" t="n">
        <v>44299</v>
      </c>
      <c r="C95" s="1" t="n">
        <v>45291</v>
      </c>
      <c r="D95" t="inlineStr">
        <is>
          <t>VÄSTRA GÖTALANDS LÄN</t>
        </is>
      </c>
      <c r="E95" t="inlineStr">
        <is>
          <t>LILLA EDET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19235-2021</t>
        </is>
      </c>
      <c r="B96" s="1" t="n">
        <v>44309</v>
      </c>
      <c r="C96" s="1" t="n">
        <v>45291</v>
      </c>
      <c r="D96" t="inlineStr">
        <is>
          <t>VÄSTRA GÖTALANDS LÄN</t>
        </is>
      </c>
      <c r="E96" t="inlineStr">
        <is>
          <t>LILLA EDET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21021-2021</t>
        </is>
      </c>
      <c r="B97" s="1" t="n">
        <v>44319</v>
      </c>
      <c r="C97" s="1" t="n">
        <v>45291</v>
      </c>
      <c r="D97" t="inlineStr">
        <is>
          <t>VÄSTRA GÖTALANDS LÄN</t>
        </is>
      </c>
      <c r="E97" t="inlineStr">
        <is>
          <t>LILLA EDET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24291-2021</t>
        </is>
      </c>
      <c r="B98" s="1" t="n">
        <v>44337</v>
      </c>
      <c r="C98" s="1" t="n">
        <v>45291</v>
      </c>
      <c r="D98" t="inlineStr">
        <is>
          <t>VÄSTRA GÖTALANDS LÄN</t>
        </is>
      </c>
      <c r="E98" t="inlineStr">
        <is>
          <t>LILLA EDET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25631-2021</t>
        </is>
      </c>
      <c r="B99" s="1" t="n">
        <v>44343</v>
      </c>
      <c r="C99" s="1" t="n">
        <v>45291</v>
      </c>
      <c r="D99" t="inlineStr">
        <is>
          <t>VÄSTRA GÖTALANDS LÄN</t>
        </is>
      </c>
      <c r="E99" t="inlineStr">
        <is>
          <t>LILLA EDET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27518-2021</t>
        </is>
      </c>
      <c r="B100" s="1" t="n">
        <v>44351</v>
      </c>
      <c r="C100" s="1" t="n">
        <v>45291</v>
      </c>
      <c r="D100" t="inlineStr">
        <is>
          <t>VÄSTRA GÖTALANDS LÄN</t>
        </is>
      </c>
      <c r="E100" t="inlineStr">
        <is>
          <t>LILLA EDET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29462-2021</t>
        </is>
      </c>
      <c r="B101" s="1" t="n">
        <v>44361</v>
      </c>
      <c r="C101" s="1" t="n">
        <v>45291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30046-2021</t>
        </is>
      </c>
      <c r="B102" s="1" t="n">
        <v>44363</v>
      </c>
      <c r="C102" s="1" t="n">
        <v>45291</v>
      </c>
      <c r="D102" t="inlineStr">
        <is>
          <t>VÄSTRA GÖTALANDS LÄN</t>
        </is>
      </c>
      <c r="E102" t="inlineStr">
        <is>
          <t>LILLA EDET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30042-2021</t>
        </is>
      </c>
      <c r="B103" s="1" t="n">
        <v>44363</v>
      </c>
      <c r="C103" s="1" t="n">
        <v>45291</v>
      </c>
      <c r="D103" t="inlineStr">
        <is>
          <t>VÄSTRA GÖTALANDS LÄN</t>
        </is>
      </c>
      <c r="E103" t="inlineStr">
        <is>
          <t>LILLA EDET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30045-2021</t>
        </is>
      </c>
      <c r="B104" s="1" t="n">
        <v>44363</v>
      </c>
      <c r="C104" s="1" t="n">
        <v>45291</v>
      </c>
      <c r="D104" t="inlineStr">
        <is>
          <t>VÄSTRA GÖTALANDS LÄN</t>
        </is>
      </c>
      <c r="E104" t="inlineStr">
        <is>
          <t>LILLA EDET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30951-2021</t>
        </is>
      </c>
      <c r="B105" s="1" t="n">
        <v>44365</v>
      </c>
      <c r="C105" s="1" t="n">
        <v>45291</v>
      </c>
      <c r="D105" t="inlineStr">
        <is>
          <t>VÄSTRA GÖTALANDS LÄN</t>
        </is>
      </c>
      <c r="E105" t="inlineStr">
        <is>
          <t>LILLA EDET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33527-2021</t>
        </is>
      </c>
      <c r="B106" s="1" t="n">
        <v>44377</v>
      </c>
      <c r="C106" s="1" t="n">
        <v>45291</v>
      </c>
      <c r="D106" t="inlineStr">
        <is>
          <t>VÄSTRA GÖTALANDS LÄN</t>
        </is>
      </c>
      <c r="E106" t="inlineStr">
        <is>
          <t>LILLA EDET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33528-2021</t>
        </is>
      </c>
      <c r="B107" s="1" t="n">
        <v>44377</v>
      </c>
      <c r="C107" s="1" t="n">
        <v>45291</v>
      </c>
      <c r="D107" t="inlineStr">
        <is>
          <t>VÄSTRA GÖTALANDS LÄN</t>
        </is>
      </c>
      <c r="E107" t="inlineStr">
        <is>
          <t>LILLA EDET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33526-2021</t>
        </is>
      </c>
      <c r="B108" s="1" t="n">
        <v>44377</v>
      </c>
      <c r="C108" s="1" t="n">
        <v>45291</v>
      </c>
      <c r="D108" t="inlineStr">
        <is>
          <t>VÄSTRA GÖTALANDS LÄN</t>
        </is>
      </c>
      <c r="E108" t="inlineStr">
        <is>
          <t>LILLA EDET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37322-2021</t>
        </is>
      </c>
      <c r="B109" s="1" t="n">
        <v>44397</v>
      </c>
      <c r="C109" s="1" t="n">
        <v>45291</v>
      </c>
      <c r="D109" t="inlineStr">
        <is>
          <t>VÄSTRA GÖTALANDS LÄN</t>
        </is>
      </c>
      <c r="E109" t="inlineStr">
        <is>
          <t>LILLA EDET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41630-2021</t>
        </is>
      </c>
      <c r="B110" s="1" t="n">
        <v>44425</v>
      </c>
      <c r="C110" s="1" t="n">
        <v>45291</v>
      </c>
      <c r="D110" t="inlineStr">
        <is>
          <t>VÄSTRA GÖTALANDS LÄN</t>
        </is>
      </c>
      <c r="E110" t="inlineStr">
        <is>
          <t>LILLA EDET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51569-2021</t>
        </is>
      </c>
      <c r="B111" s="1" t="n">
        <v>44462</v>
      </c>
      <c r="C111" s="1" t="n">
        <v>45291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52953-2021</t>
        </is>
      </c>
      <c r="B112" s="1" t="n">
        <v>44467</v>
      </c>
      <c r="C112" s="1" t="n">
        <v>45291</v>
      </c>
      <c r="D112" t="inlineStr">
        <is>
          <t>VÄSTRA GÖTALANDS LÄN</t>
        </is>
      </c>
      <c r="E112" t="inlineStr">
        <is>
          <t>LILLA EDET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54684-2021</t>
        </is>
      </c>
      <c r="B113" s="1" t="n">
        <v>44473</v>
      </c>
      <c r="C113" s="1" t="n">
        <v>45291</v>
      </c>
      <c r="D113" t="inlineStr">
        <is>
          <t>VÄSTRA GÖTALANDS LÄN</t>
        </is>
      </c>
      <c r="E113" t="inlineStr">
        <is>
          <t>LILLA EDET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54681-2021</t>
        </is>
      </c>
      <c r="B114" s="1" t="n">
        <v>44473</v>
      </c>
      <c r="C114" s="1" t="n">
        <v>45291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55768-2021</t>
        </is>
      </c>
      <c r="B115" s="1" t="n">
        <v>44476</v>
      </c>
      <c r="C115" s="1" t="n">
        <v>45291</v>
      </c>
      <c r="D115" t="inlineStr">
        <is>
          <t>VÄSTRA GÖTALANDS LÄN</t>
        </is>
      </c>
      <c r="E115" t="inlineStr">
        <is>
          <t>LILLA EDET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58750-2021</t>
        </is>
      </c>
      <c r="B116" s="1" t="n">
        <v>44489</v>
      </c>
      <c r="C116" s="1" t="n">
        <v>45291</v>
      </c>
      <c r="D116" t="inlineStr">
        <is>
          <t>VÄSTRA GÖTALANDS LÄN</t>
        </is>
      </c>
      <c r="E116" t="inlineStr">
        <is>
          <t>LILLA EDET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65619-2021</t>
        </is>
      </c>
      <c r="B117" s="1" t="n">
        <v>44516</v>
      </c>
      <c r="C117" s="1" t="n">
        <v>45291</v>
      </c>
      <c r="D117" t="inlineStr">
        <is>
          <t>VÄSTRA GÖTALANDS LÄN</t>
        </is>
      </c>
      <c r="E117" t="inlineStr">
        <is>
          <t>LILLA EDET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66827-2021</t>
        </is>
      </c>
      <c r="B118" s="1" t="n">
        <v>44522</v>
      </c>
      <c r="C118" s="1" t="n">
        <v>45291</v>
      </c>
      <c r="D118" t="inlineStr">
        <is>
          <t>VÄSTRA GÖTALANDS LÄN</t>
        </is>
      </c>
      <c r="E118" t="inlineStr">
        <is>
          <t>LILLA EDET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72537-2021</t>
        </is>
      </c>
      <c r="B119" s="1" t="n">
        <v>44546</v>
      </c>
      <c r="C119" s="1" t="n">
        <v>45291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296-2022</t>
        </is>
      </c>
      <c r="B120" s="1" t="n">
        <v>44565</v>
      </c>
      <c r="C120" s="1" t="n">
        <v>45291</v>
      </c>
      <c r="D120" t="inlineStr">
        <is>
          <t>VÄSTRA GÖTALANDS LÄN</t>
        </is>
      </c>
      <c r="E120" t="inlineStr">
        <is>
          <t>LILLA EDET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2991-2022</t>
        </is>
      </c>
      <c r="B121" s="1" t="n">
        <v>44581</v>
      </c>
      <c r="C121" s="1" t="n">
        <v>45291</v>
      </c>
      <c r="D121" t="inlineStr">
        <is>
          <t>VÄSTRA GÖTALANDS LÄN</t>
        </is>
      </c>
      <c r="E121" t="inlineStr">
        <is>
          <t>LILLA EDET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3630-2022</t>
        </is>
      </c>
      <c r="B122" s="1" t="n">
        <v>44586</v>
      </c>
      <c r="C122" s="1" t="n">
        <v>45291</v>
      </c>
      <c r="D122" t="inlineStr">
        <is>
          <t>VÄSTRA GÖTALANDS LÄN</t>
        </is>
      </c>
      <c r="E122" t="inlineStr">
        <is>
          <t>LILLA EDET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9046-2022</t>
        </is>
      </c>
      <c r="B123" s="1" t="n">
        <v>44615</v>
      </c>
      <c r="C123" s="1" t="n">
        <v>45291</v>
      </c>
      <c r="D123" t="inlineStr">
        <is>
          <t>VÄSTRA GÖTALANDS LÄN</t>
        </is>
      </c>
      <c r="E123" t="inlineStr">
        <is>
          <t>LILLA EDET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10729-2022</t>
        </is>
      </c>
      <c r="B124" s="1" t="n">
        <v>44627</v>
      </c>
      <c r="C124" s="1" t="n">
        <v>45291</v>
      </c>
      <c r="D124" t="inlineStr">
        <is>
          <t>VÄSTRA GÖTALANDS LÄN</t>
        </is>
      </c>
      <c r="E124" t="inlineStr">
        <is>
          <t>LILLA EDET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10726-2022</t>
        </is>
      </c>
      <c r="B125" s="1" t="n">
        <v>44627</v>
      </c>
      <c r="C125" s="1" t="n">
        <v>45291</v>
      </c>
      <c r="D125" t="inlineStr">
        <is>
          <t>VÄSTRA GÖTALANDS LÄN</t>
        </is>
      </c>
      <c r="E125" t="inlineStr">
        <is>
          <t>LILLA EDET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12363-2022</t>
        </is>
      </c>
      <c r="B126" s="1" t="n">
        <v>44637</v>
      </c>
      <c r="C126" s="1" t="n">
        <v>45291</v>
      </c>
      <c r="D126" t="inlineStr">
        <is>
          <t>VÄSTRA GÖTALANDS LÄN</t>
        </is>
      </c>
      <c r="E126" t="inlineStr">
        <is>
          <t>LILLA EDET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15567-2022</t>
        </is>
      </c>
      <c r="B127" s="1" t="n">
        <v>44662</v>
      </c>
      <c r="C127" s="1" t="n">
        <v>45291</v>
      </c>
      <c r="D127" t="inlineStr">
        <is>
          <t>VÄSTRA GÖTALANDS LÄN</t>
        </is>
      </c>
      <c r="E127" t="inlineStr">
        <is>
          <t>LILLA EDET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15576-2022</t>
        </is>
      </c>
      <c r="B128" s="1" t="n">
        <v>44662</v>
      </c>
      <c r="C128" s="1" t="n">
        <v>45291</v>
      </c>
      <c r="D128" t="inlineStr">
        <is>
          <t>VÄSTRA GÖTALANDS LÄN</t>
        </is>
      </c>
      <c r="E128" t="inlineStr">
        <is>
          <t>LILLA EDET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16473-2022</t>
        </is>
      </c>
      <c r="B129" s="1" t="n">
        <v>44671</v>
      </c>
      <c r="C129" s="1" t="n">
        <v>45291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16481-2022</t>
        </is>
      </c>
      <c r="B130" s="1" t="n">
        <v>44671</v>
      </c>
      <c r="C130" s="1" t="n">
        <v>45291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18346-2022</t>
        </is>
      </c>
      <c r="B131" s="1" t="n">
        <v>44685</v>
      </c>
      <c r="C131" s="1" t="n">
        <v>45291</v>
      </c>
      <c r="D131" t="inlineStr">
        <is>
          <t>VÄSTRA GÖTALANDS LÄN</t>
        </is>
      </c>
      <c r="E131" t="inlineStr">
        <is>
          <t>LILLA EDET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23297-2022</t>
        </is>
      </c>
      <c r="B132" s="1" t="n">
        <v>44720</v>
      </c>
      <c r="C132" s="1" t="n">
        <v>45291</v>
      </c>
      <c r="D132" t="inlineStr">
        <is>
          <t>VÄSTRA GÖTALANDS LÄN</t>
        </is>
      </c>
      <c r="E132" t="inlineStr">
        <is>
          <t>LILLA EDET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29600-2022</t>
        </is>
      </c>
      <c r="B133" s="1" t="n">
        <v>44754</v>
      </c>
      <c r="C133" s="1" t="n">
        <v>45291</v>
      </c>
      <c r="D133" t="inlineStr">
        <is>
          <t>VÄSTRA GÖTALANDS LÄN</t>
        </is>
      </c>
      <c r="E133" t="inlineStr">
        <is>
          <t>LILLA EDET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30287-2022</t>
        </is>
      </c>
      <c r="B134" s="1" t="n">
        <v>44760</v>
      </c>
      <c r="C134" s="1" t="n">
        <v>45291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30285-2022</t>
        </is>
      </c>
      <c r="B135" s="1" t="n">
        <v>44760</v>
      </c>
      <c r="C135" s="1" t="n">
        <v>45291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30284-2022</t>
        </is>
      </c>
      <c r="B136" s="1" t="n">
        <v>44760</v>
      </c>
      <c r="C136" s="1" t="n">
        <v>45291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36359-2022</t>
        </is>
      </c>
      <c r="B137" s="1" t="n">
        <v>44803</v>
      </c>
      <c r="C137" s="1" t="n">
        <v>45291</v>
      </c>
      <c r="D137" t="inlineStr">
        <is>
          <t>VÄSTRA GÖTALANDS LÄN</t>
        </is>
      </c>
      <c r="E137" t="inlineStr">
        <is>
          <t>LILLA EDET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38059-2022</t>
        </is>
      </c>
      <c r="B138" s="1" t="n">
        <v>44811</v>
      </c>
      <c r="C138" s="1" t="n">
        <v>45291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38093-2022</t>
        </is>
      </c>
      <c r="B139" s="1" t="n">
        <v>44812</v>
      </c>
      <c r="C139" s="1" t="n">
        <v>45291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38386-2022</t>
        </is>
      </c>
      <c r="B140" s="1" t="n">
        <v>44812</v>
      </c>
      <c r="C140" s="1" t="n">
        <v>45291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38384-2022</t>
        </is>
      </c>
      <c r="B141" s="1" t="n">
        <v>44812</v>
      </c>
      <c r="C141" s="1" t="n">
        <v>45291</v>
      </c>
      <c r="D141" t="inlineStr">
        <is>
          <t>VÄSTRA GÖTALANDS LÄN</t>
        </is>
      </c>
      <c r="E141" t="inlineStr">
        <is>
          <t>LILLA EDET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38383-2022</t>
        </is>
      </c>
      <c r="B142" s="1" t="n">
        <v>44812</v>
      </c>
      <c r="C142" s="1" t="n">
        <v>45291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41411-2022</t>
        </is>
      </c>
      <c r="B143" s="1" t="n">
        <v>44826</v>
      </c>
      <c r="C143" s="1" t="n">
        <v>45291</v>
      </c>
      <c r="D143" t="inlineStr">
        <is>
          <t>VÄSTRA GÖTALANDS LÄN</t>
        </is>
      </c>
      <c r="E143" t="inlineStr">
        <is>
          <t>LILLA EDET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41420-2022</t>
        </is>
      </c>
      <c r="B144" s="1" t="n">
        <v>44826</v>
      </c>
      <c r="C144" s="1" t="n">
        <v>45291</v>
      </c>
      <c r="D144" t="inlineStr">
        <is>
          <t>VÄSTRA GÖTALANDS LÄN</t>
        </is>
      </c>
      <c r="E144" t="inlineStr">
        <is>
          <t>LILLA EDET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44660-2022</t>
        </is>
      </c>
      <c r="B145" s="1" t="n">
        <v>44840</v>
      </c>
      <c r="C145" s="1" t="n">
        <v>45291</v>
      </c>
      <c r="D145" t="inlineStr">
        <is>
          <t>VÄSTRA GÖTALANDS LÄN</t>
        </is>
      </c>
      <c r="E145" t="inlineStr">
        <is>
          <t>LILLA EDET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48797-2022</t>
        </is>
      </c>
      <c r="B146" s="1" t="n">
        <v>44859</v>
      </c>
      <c r="C146" s="1" t="n">
        <v>45291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51488-2022</t>
        </is>
      </c>
      <c r="B147" s="1" t="n">
        <v>44869</v>
      </c>
      <c r="C147" s="1" t="n">
        <v>45291</v>
      </c>
      <c r="D147" t="inlineStr">
        <is>
          <t>VÄSTRA GÖTALANDS LÄN</t>
        </is>
      </c>
      <c r="E147" t="inlineStr">
        <is>
          <t>LILLA EDET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51518-2022</t>
        </is>
      </c>
      <c r="B148" s="1" t="n">
        <v>44869</v>
      </c>
      <c r="C148" s="1" t="n">
        <v>45291</v>
      </c>
      <c r="D148" t="inlineStr">
        <is>
          <t>VÄSTRA GÖTALANDS LÄN</t>
        </is>
      </c>
      <c r="E148" t="inlineStr">
        <is>
          <t>LILLA EDET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51760-2022</t>
        </is>
      </c>
      <c r="B149" s="1" t="n">
        <v>44872</v>
      </c>
      <c r="C149" s="1" t="n">
        <v>45291</v>
      </c>
      <c r="D149" t="inlineStr">
        <is>
          <t>VÄSTRA GÖTALANDS LÄN</t>
        </is>
      </c>
      <c r="E149" t="inlineStr">
        <is>
          <t>LILLA EDET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52891-2022</t>
        </is>
      </c>
      <c r="B150" s="1" t="n">
        <v>44875</v>
      </c>
      <c r="C150" s="1" t="n">
        <v>45291</v>
      </c>
      <c r="D150" t="inlineStr">
        <is>
          <t>VÄSTRA GÖTALANDS LÄN</t>
        </is>
      </c>
      <c r="E150" t="inlineStr">
        <is>
          <t>LILLA EDET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54804-2022</t>
        </is>
      </c>
      <c r="B151" s="1" t="n">
        <v>44883</v>
      </c>
      <c r="C151" s="1" t="n">
        <v>45291</v>
      </c>
      <c r="D151" t="inlineStr">
        <is>
          <t>VÄSTRA GÖTALANDS LÄN</t>
        </is>
      </c>
      <c r="E151" t="inlineStr">
        <is>
          <t>LILLA EDET</t>
        </is>
      </c>
      <c r="G151" t="n">
        <v>22.6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55991-2022</t>
        </is>
      </c>
      <c r="B152" s="1" t="n">
        <v>44889</v>
      </c>
      <c r="C152" s="1" t="n">
        <v>45291</v>
      </c>
      <c r="D152" t="inlineStr">
        <is>
          <t>VÄSTRA GÖTALANDS LÄN</t>
        </is>
      </c>
      <c r="E152" t="inlineStr">
        <is>
          <t>LILLA EDET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55972-2022</t>
        </is>
      </c>
      <c r="B153" s="1" t="n">
        <v>44889</v>
      </c>
      <c r="C153" s="1" t="n">
        <v>45291</v>
      </c>
      <c r="D153" t="inlineStr">
        <is>
          <t>VÄSTRA GÖTALANDS LÄN</t>
        </is>
      </c>
      <c r="E153" t="inlineStr">
        <is>
          <t>LILLA EDET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56774-2022</t>
        </is>
      </c>
      <c r="B154" s="1" t="n">
        <v>44894</v>
      </c>
      <c r="C154" s="1" t="n">
        <v>45291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56778-2022</t>
        </is>
      </c>
      <c r="B155" s="1" t="n">
        <v>44894</v>
      </c>
      <c r="C155" s="1" t="n">
        <v>45291</v>
      </c>
      <c r="D155" t="inlineStr">
        <is>
          <t>VÄSTRA GÖTALANDS LÄN</t>
        </is>
      </c>
      <c r="E155" t="inlineStr">
        <is>
          <t>LILLA EDET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56773-2022</t>
        </is>
      </c>
      <c r="B156" s="1" t="n">
        <v>44894</v>
      </c>
      <c r="C156" s="1" t="n">
        <v>45291</v>
      </c>
      <c r="D156" t="inlineStr">
        <is>
          <t>VÄSTRA GÖTALANDS LÄN</t>
        </is>
      </c>
      <c r="E156" t="inlineStr">
        <is>
          <t>LILLA EDET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57381-2022</t>
        </is>
      </c>
      <c r="B157" s="1" t="n">
        <v>44896</v>
      </c>
      <c r="C157" s="1" t="n">
        <v>45291</v>
      </c>
      <c r="D157" t="inlineStr">
        <is>
          <t>VÄSTRA GÖTALANDS LÄN</t>
        </is>
      </c>
      <c r="E157" t="inlineStr">
        <is>
          <t>LILLA EDET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58644-2022</t>
        </is>
      </c>
      <c r="B158" s="1" t="n">
        <v>44902</v>
      </c>
      <c r="C158" s="1" t="n">
        <v>45291</v>
      </c>
      <c r="D158" t="inlineStr">
        <is>
          <t>VÄSTRA GÖTALANDS LÄN</t>
        </is>
      </c>
      <c r="E158" t="inlineStr">
        <is>
          <t>LILLA EDET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58652-2022</t>
        </is>
      </c>
      <c r="B159" s="1" t="n">
        <v>44902</v>
      </c>
      <c r="C159" s="1" t="n">
        <v>45291</v>
      </c>
      <c r="D159" t="inlineStr">
        <is>
          <t>VÄSTRA GÖTALANDS LÄN</t>
        </is>
      </c>
      <c r="E159" t="inlineStr">
        <is>
          <t>LILLA EDET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58640-2022</t>
        </is>
      </c>
      <c r="B160" s="1" t="n">
        <v>44902</v>
      </c>
      <c r="C160" s="1" t="n">
        <v>45291</v>
      </c>
      <c r="D160" t="inlineStr">
        <is>
          <t>VÄSTRA GÖTALANDS LÄN</t>
        </is>
      </c>
      <c r="E160" t="inlineStr">
        <is>
          <t>LILLA EDET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61284-2022</t>
        </is>
      </c>
      <c r="B161" s="1" t="n">
        <v>44915</v>
      </c>
      <c r="C161" s="1" t="n">
        <v>45291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85-2023</t>
        </is>
      </c>
      <c r="B162" s="1" t="n">
        <v>44928</v>
      </c>
      <c r="C162" s="1" t="n">
        <v>45291</v>
      </c>
      <c r="D162" t="inlineStr">
        <is>
          <t>VÄSTRA GÖTALANDS LÄN</t>
        </is>
      </c>
      <c r="E162" t="inlineStr">
        <is>
          <t>LILLA EDET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107-2023</t>
        </is>
      </c>
      <c r="B163" s="1" t="n">
        <v>44928</v>
      </c>
      <c r="C163" s="1" t="n">
        <v>45291</v>
      </c>
      <c r="D163" t="inlineStr">
        <is>
          <t>VÄSTRA GÖTALANDS LÄN</t>
        </is>
      </c>
      <c r="E163" t="inlineStr">
        <is>
          <t>LILLA EDET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122-2023</t>
        </is>
      </c>
      <c r="B164" s="1" t="n">
        <v>44928</v>
      </c>
      <c r="C164" s="1" t="n">
        <v>45291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3408-2023</t>
        </is>
      </c>
      <c r="B165" s="1" t="n">
        <v>44949</v>
      </c>
      <c r="C165" s="1" t="n">
        <v>45291</v>
      </c>
      <c r="D165" t="inlineStr">
        <is>
          <t>VÄSTRA GÖTALANDS LÄN</t>
        </is>
      </c>
      <c r="E165" t="inlineStr">
        <is>
          <t>LILLA EDET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3965-2023</t>
        </is>
      </c>
      <c r="B166" s="1" t="n">
        <v>44952</v>
      </c>
      <c r="C166" s="1" t="n">
        <v>45291</v>
      </c>
      <c r="D166" t="inlineStr">
        <is>
          <t>VÄSTRA GÖTALANDS LÄN</t>
        </is>
      </c>
      <c r="E166" t="inlineStr">
        <is>
          <t>LILLA EDET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4954-2023</t>
        </is>
      </c>
      <c r="B167" s="1" t="n">
        <v>44958</v>
      </c>
      <c r="C167" s="1" t="n">
        <v>45291</v>
      </c>
      <c r="D167" t="inlineStr">
        <is>
          <t>VÄSTRA GÖTALANDS LÄN</t>
        </is>
      </c>
      <c r="E167" t="inlineStr">
        <is>
          <t>LILLA EDET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4960-2023</t>
        </is>
      </c>
      <c r="B168" s="1" t="n">
        <v>44958</v>
      </c>
      <c r="C168" s="1" t="n">
        <v>45291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6323-2023</t>
        </is>
      </c>
      <c r="B169" s="1" t="n">
        <v>44960</v>
      </c>
      <c r="C169" s="1" t="n">
        <v>45291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8117-2023</t>
        </is>
      </c>
      <c r="B170" s="1" t="n">
        <v>44974</v>
      </c>
      <c r="C170" s="1" t="n">
        <v>45291</v>
      </c>
      <c r="D170" t="inlineStr">
        <is>
          <t>VÄSTRA GÖTALANDS LÄN</t>
        </is>
      </c>
      <c r="E170" t="inlineStr">
        <is>
          <t>LILLA EDET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12647-2023</t>
        </is>
      </c>
      <c r="B171" s="1" t="n">
        <v>45000</v>
      </c>
      <c r="C171" s="1" t="n">
        <v>45291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12628-2023</t>
        </is>
      </c>
      <c r="B172" s="1" t="n">
        <v>45000</v>
      </c>
      <c r="C172" s="1" t="n">
        <v>45291</v>
      </c>
      <c r="D172" t="inlineStr">
        <is>
          <t>VÄSTRA GÖTALANDS LÄN</t>
        </is>
      </c>
      <c r="E172" t="inlineStr">
        <is>
          <t>LILLA EDET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12847-2023</t>
        </is>
      </c>
      <c r="B173" s="1" t="n">
        <v>45000</v>
      </c>
      <c r="C173" s="1" t="n">
        <v>45291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12760-2023</t>
        </is>
      </c>
      <c r="B174" s="1" t="n">
        <v>45001</v>
      </c>
      <c r="C174" s="1" t="n">
        <v>45291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13382-2023</t>
        </is>
      </c>
      <c r="B175" s="1" t="n">
        <v>45005</v>
      </c>
      <c r="C175" s="1" t="n">
        <v>45291</v>
      </c>
      <c r="D175" t="inlineStr">
        <is>
          <t>VÄSTRA GÖTALANDS LÄN</t>
        </is>
      </c>
      <c r="E175" t="inlineStr">
        <is>
          <t>LILLA EDET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13450-2023</t>
        </is>
      </c>
      <c r="B176" s="1" t="n">
        <v>45005</v>
      </c>
      <c r="C176" s="1" t="n">
        <v>45291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13581-2023</t>
        </is>
      </c>
      <c r="B177" s="1" t="n">
        <v>45006</v>
      </c>
      <c r="C177" s="1" t="n">
        <v>45291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13973-2023</t>
        </is>
      </c>
      <c r="B178" s="1" t="n">
        <v>45008</v>
      </c>
      <c r="C178" s="1" t="n">
        <v>45291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13975-2023</t>
        </is>
      </c>
      <c r="B179" s="1" t="n">
        <v>45008</v>
      </c>
      <c r="C179" s="1" t="n">
        <v>45291</v>
      </c>
      <c r="D179" t="inlineStr">
        <is>
          <t>VÄSTRA GÖTALANDS LÄN</t>
        </is>
      </c>
      <c r="E179" t="inlineStr">
        <is>
          <t>LILLA EDET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15135-2023</t>
        </is>
      </c>
      <c r="B180" s="1" t="n">
        <v>45016</v>
      </c>
      <c r="C180" s="1" t="n">
        <v>45291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15159-2023</t>
        </is>
      </c>
      <c r="B181" s="1" t="n">
        <v>45016</v>
      </c>
      <c r="C181" s="1" t="n">
        <v>45291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17116-2023</t>
        </is>
      </c>
      <c r="B182" s="1" t="n">
        <v>45034</v>
      </c>
      <c r="C182" s="1" t="n">
        <v>45291</v>
      </c>
      <c r="D182" t="inlineStr">
        <is>
          <t>VÄSTRA GÖTALANDS LÄN</t>
        </is>
      </c>
      <c r="E182" t="inlineStr">
        <is>
          <t>LILLA EDET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17114-2023</t>
        </is>
      </c>
      <c r="B183" s="1" t="n">
        <v>45034</v>
      </c>
      <c r="C183" s="1" t="n">
        <v>45291</v>
      </c>
      <c r="D183" t="inlineStr">
        <is>
          <t>VÄSTRA GÖTALANDS LÄN</t>
        </is>
      </c>
      <c r="E183" t="inlineStr">
        <is>
          <t>LILLA EDET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19004-2023</t>
        </is>
      </c>
      <c r="B184" s="1" t="n">
        <v>45045</v>
      </c>
      <c r="C184" s="1" t="n">
        <v>45291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19003-2023</t>
        </is>
      </c>
      <c r="B185" s="1" t="n">
        <v>45045</v>
      </c>
      <c r="C185" s="1" t="n">
        <v>45291</v>
      </c>
      <c r="D185" t="inlineStr">
        <is>
          <t>VÄSTRA GÖTALANDS LÄN</t>
        </is>
      </c>
      <c r="E185" t="inlineStr">
        <is>
          <t>LILLA EDET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22612-2023</t>
        </is>
      </c>
      <c r="B186" s="1" t="n">
        <v>45071</v>
      </c>
      <c r="C186" s="1" t="n">
        <v>45291</v>
      </c>
      <c r="D186" t="inlineStr">
        <is>
          <t>VÄSTRA GÖTALANDS LÄN</t>
        </is>
      </c>
      <c r="E186" t="inlineStr">
        <is>
          <t>LILLA EDET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23494-2023</t>
        </is>
      </c>
      <c r="B187" s="1" t="n">
        <v>45072</v>
      </c>
      <c r="C187" s="1" t="n">
        <v>45291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23563-2023</t>
        </is>
      </c>
      <c r="B188" s="1" t="n">
        <v>45072</v>
      </c>
      <c r="C188" s="1" t="n">
        <v>45291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23559-2023</t>
        </is>
      </c>
      <c r="B189" s="1" t="n">
        <v>45072</v>
      </c>
      <c r="C189" s="1" t="n">
        <v>45291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23497-2023</t>
        </is>
      </c>
      <c r="B190" s="1" t="n">
        <v>45072</v>
      </c>
      <c r="C190" s="1" t="n">
        <v>45291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26439-2023</t>
        </is>
      </c>
      <c r="B191" s="1" t="n">
        <v>45092</v>
      </c>
      <c r="C191" s="1" t="n">
        <v>45291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26443-2023</t>
        </is>
      </c>
      <c r="B192" s="1" t="n">
        <v>45092</v>
      </c>
      <c r="C192" s="1" t="n">
        <v>45291</v>
      </c>
      <c r="D192" t="inlineStr">
        <is>
          <t>VÄSTRA GÖTALANDS LÄN</t>
        </is>
      </c>
      <c r="E192" t="inlineStr">
        <is>
          <t>LILLA EDET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26886-2023</t>
        </is>
      </c>
      <c r="B193" s="1" t="n">
        <v>45093</v>
      </c>
      <c r="C193" s="1" t="n">
        <v>45291</v>
      </c>
      <c r="D193" t="inlineStr">
        <is>
          <t>VÄSTRA GÖTALANDS LÄN</t>
        </is>
      </c>
      <c r="E193" t="inlineStr">
        <is>
          <t>LILLA EDET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28018-2023</t>
        </is>
      </c>
      <c r="B194" s="1" t="n">
        <v>45098</v>
      </c>
      <c r="C194" s="1" t="n">
        <v>45291</v>
      </c>
      <c r="D194" t="inlineStr">
        <is>
          <t>VÄSTRA GÖTALANDS LÄN</t>
        </is>
      </c>
      <c r="E194" t="inlineStr">
        <is>
          <t>LILLA EDET</t>
        </is>
      </c>
      <c r="G194" t="n">
        <v>47.9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28021-2023</t>
        </is>
      </c>
      <c r="B195" s="1" t="n">
        <v>45099</v>
      </c>
      <c r="C195" s="1" t="n">
        <v>45291</v>
      </c>
      <c r="D195" t="inlineStr">
        <is>
          <t>VÄSTRA GÖTALANDS LÄN</t>
        </is>
      </c>
      <c r="E195" t="inlineStr">
        <is>
          <t>LILLA EDET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28022-2023</t>
        </is>
      </c>
      <c r="B196" s="1" t="n">
        <v>45099</v>
      </c>
      <c r="C196" s="1" t="n">
        <v>45291</v>
      </c>
      <c r="D196" t="inlineStr">
        <is>
          <t>VÄSTRA GÖTALANDS LÄN</t>
        </is>
      </c>
      <c r="E196" t="inlineStr">
        <is>
          <t>LILLA EDET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32107-2023</t>
        </is>
      </c>
      <c r="B197" s="1" t="n">
        <v>45119</v>
      </c>
      <c r="C197" s="1" t="n">
        <v>45291</v>
      </c>
      <c r="D197" t="inlineStr">
        <is>
          <t>VÄSTRA GÖTALANDS LÄN</t>
        </is>
      </c>
      <c r="E197" t="inlineStr">
        <is>
          <t>LILLA EDET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32110-2023</t>
        </is>
      </c>
      <c r="B198" s="1" t="n">
        <v>45119</v>
      </c>
      <c r="C198" s="1" t="n">
        <v>45291</v>
      </c>
      <c r="D198" t="inlineStr">
        <is>
          <t>VÄSTRA GÖTALANDS LÄN</t>
        </is>
      </c>
      <c r="E198" t="inlineStr">
        <is>
          <t>LILLA EDET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32421-2023</t>
        </is>
      </c>
      <c r="B199" s="1" t="n">
        <v>45120</v>
      </c>
      <c r="C199" s="1" t="n">
        <v>45291</v>
      </c>
      <c r="D199" t="inlineStr">
        <is>
          <t>VÄSTRA GÖTALANDS LÄN</t>
        </is>
      </c>
      <c r="E199" t="inlineStr">
        <is>
          <t>LILLA EDET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33989-2023</t>
        </is>
      </c>
      <c r="B200" s="1" t="n">
        <v>45134</v>
      </c>
      <c r="C200" s="1" t="n">
        <v>45291</v>
      </c>
      <c r="D200" t="inlineStr">
        <is>
          <t>VÄSTRA GÖTALANDS LÄN</t>
        </is>
      </c>
      <c r="E200" t="inlineStr">
        <is>
          <t>LILLA EDET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33993-2023</t>
        </is>
      </c>
      <c r="B201" s="1" t="n">
        <v>45135</v>
      </c>
      <c r="C201" s="1" t="n">
        <v>45291</v>
      </c>
      <c r="D201" t="inlineStr">
        <is>
          <t>VÄSTRA GÖTALANDS LÄN</t>
        </is>
      </c>
      <c r="E201" t="inlineStr">
        <is>
          <t>LILLA EDET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33996-2023</t>
        </is>
      </c>
      <c r="B202" s="1" t="n">
        <v>45135</v>
      </c>
      <c r="C202" s="1" t="n">
        <v>45291</v>
      </c>
      <c r="D202" t="inlineStr">
        <is>
          <t>VÄSTRA GÖTALANDS LÄN</t>
        </is>
      </c>
      <c r="E202" t="inlineStr">
        <is>
          <t>LILLA EDET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33991-2023</t>
        </is>
      </c>
      <c r="B203" s="1" t="n">
        <v>45134</v>
      </c>
      <c r="C203" s="1" t="n">
        <v>45291</v>
      </c>
      <c r="D203" t="inlineStr">
        <is>
          <t>VÄSTRA GÖTALANDS LÄN</t>
        </is>
      </c>
      <c r="E203" t="inlineStr">
        <is>
          <t>LILLA EDET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34396-2023</t>
        </is>
      </c>
      <c r="B204" s="1" t="n">
        <v>45139</v>
      </c>
      <c r="C204" s="1" t="n">
        <v>45291</v>
      </c>
      <c r="D204" t="inlineStr">
        <is>
          <t>VÄSTRA GÖTALANDS LÄN</t>
        </is>
      </c>
      <c r="E204" t="inlineStr">
        <is>
          <t>LILLA EDET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37389-2023</t>
        </is>
      </c>
      <c r="B205" s="1" t="n">
        <v>45156</v>
      </c>
      <c r="C205" s="1" t="n">
        <v>45291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37508-2023</t>
        </is>
      </c>
      <c r="B206" s="1" t="n">
        <v>45158</v>
      </c>
      <c r="C206" s="1" t="n">
        <v>45291</v>
      </c>
      <c r="D206" t="inlineStr">
        <is>
          <t>VÄSTRA GÖTALANDS LÄN</t>
        </is>
      </c>
      <c r="E206" t="inlineStr">
        <is>
          <t>LILLA EDET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37509-2023</t>
        </is>
      </c>
      <c r="B207" s="1" t="n">
        <v>45158</v>
      </c>
      <c r="C207" s="1" t="n">
        <v>45291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37510-2023</t>
        </is>
      </c>
      <c r="B208" s="1" t="n">
        <v>45158</v>
      </c>
      <c r="C208" s="1" t="n">
        <v>45291</v>
      </c>
      <c r="D208" t="inlineStr">
        <is>
          <t>VÄSTRA GÖTALANDS LÄN</t>
        </is>
      </c>
      <c r="E208" t="inlineStr">
        <is>
          <t>LILLA EDET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38442-2023</t>
        </is>
      </c>
      <c r="B209" s="1" t="n">
        <v>45162</v>
      </c>
      <c r="C209" s="1" t="n">
        <v>45291</v>
      </c>
      <c r="D209" t="inlineStr">
        <is>
          <t>VÄSTRA GÖTALANDS LÄN</t>
        </is>
      </c>
      <c r="E209" t="inlineStr">
        <is>
          <t>LILLA EDET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43767-2023</t>
        </is>
      </c>
      <c r="B210" s="1" t="n">
        <v>45187</v>
      </c>
      <c r="C210" s="1" t="n">
        <v>45291</v>
      </c>
      <c r="D210" t="inlineStr">
        <is>
          <t>VÄSTRA GÖTALANDS LÄN</t>
        </is>
      </c>
      <c r="E210" t="inlineStr">
        <is>
          <t>LILLA EDET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43770-2023</t>
        </is>
      </c>
      <c r="B211" s="1" t="n">
        <v>45187</v>
      </c>
      <c r="C211" s="1" t="n">
        <v>45291</v>
      </c>
      <c r="D211" t="inlineStr">
        <is>
          <t>VÄSTRA GÖTALANDS LÄN</t>
        </is>
      </c>
      <c r="E211" t="inlineStr">
        <is>
          <t>LILLA EDET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44342-2023</t>
        </is>
      </c>
      <c r="B212" s="1" t="n">
        <v>45188</v>
      </c>
      <c r="C212" s="1" t="n">
        <v>45291</v>
      </c>
      <c r="D212" t="inlineStr">
        <is>
          <t>VÄSTRA GÖTALANDS LÄN</t>
        </is>
      </c>
      <c r="E212" t="inlineStr">
        <is>
          <t>LILLA EDET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44445-2023</t>
        </is>
      </c>
      <c r="B213" s="1" t="n">
        <v>45189</v>
      </c>
      <c r="C213" s="1" t="n">
        <v>45291</v>
      </c>
      <c r="D213" t="inlineStr">
        <is>
          <t>VÄSTRA GÖTALANDS LÄN</t>
        </is>
      </c>
      <c r="E213" t="inlineStr">
        <is>
          <t>LILLA EDET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44943-2023</t>
        </is>
      </c>
      <c r="B214" s="1" t="n">
        <v>45190</v>
      </c>
      <c r="C214" s="1" t="n">
        <v>45291</v>
      </c>
      <c r="D214" t="inlineStr">
        <is>
          <t>VÄSTRA GÖTALANDS LÄN</t>
        </is>
      </c>
      <c r="E214" t="inlineStr">
        <is>
          <t>LILLA EDET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45664-2023</t>
        </is>
      </c>
      <c r="B215" s="1" t="n">
        <v>45194</v>
      </c>
      <c r="C215" s="1" t="n">
        <v>45291</v>
      </c>
      <c r="D215" t="inlineStr">
        <is>
          <t>VÄSTRA GÖTALANDS LÄN</t>
        </is>
      </c>
      <c r="E215" t="inlineStr">
        <is>
          <t>LILLA EDET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49384-2023</t>
        </is>
      </c>
      <c r="B216" s="1" t="n">
        <v>45205</v>
      </c>
      <c r="C216" s="1" t="n">
        <v>45291</v>
      </c>
      <c r="D216" t="inlineStr">
        <is>
          <t>VÄSTRA GÖTALANDS LÄN</t>
        </is>
      </c>
      <c r="E216" t="inlineStr">
        <is>
          <t>LILLA EDET</t>
        </is>
      </c>
      <c r="F216" t="inlineStr">
        <is>
          <t>Kyrkan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49879-2023</t>
        </is>
      </c>
      <c r="B217" s="1" t="n">
        <v>45213</v>
      </c>
      <c r="C217" s="1" t="n">
        <v>45291</v>
      </c>
      <c r="D217" t="inlineStr">
        <is>
          <t>VÄSTRA GÖTALANDS LÄN</t>
        </is>
      </c>
      <c r="E217" t="inlineStr">
        <is>
          <t>LILLA EDET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52519-2023</t>
        </is>
      </c>
      <c r="B218" s="1" t="n">
        <v>45218</v>
      </c>
      <c r="C218" s="1" t="n">
        <v>45291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52431-2023</t>
        </is>
      </c>
      <c r="B219" s="1" t="n">
        <v>45225</v>
      </c>
      <c r="C219" s="1" t="n">
        <v>45291</v>
      </c>
      <c r="D219" t="inlineStr">
        <is>
          <t>VÄSTRA GÖTALANDS LÄN</t>
        </is>
      </c>
      <c r="E219" t="inlineStr">
        <is>
          <t>LILLA EDET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53413-2023</t>
        </is>
      </c>
      <c r="B220" s="1" t="n">
        <v>45229</v>
      </c>
      <c r="C220" s="1" t="n">
        <v>45291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55793-2023</t>
        </is>
      </c>
      <c r="B221" s="1" t="n">
        <v>45233</v>
      </c>
      <c r="C221" s="1" t="n">
        <v>45291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57754-2023</t>
        </is>
      </c>
      <c r="B222" s="1" t="n">
        <v>45246</v>
      </c>
      <c r="C222" s="1" t="n">
        <v>45291</v>
      </c>
      <c r="D222" t="inlineStr">
        <is>
          <t>VÄSTRA GÖTALANDS LÄN</t>
        </is>
      </c>
      <c r="E222" t="inlineStr">
        <is>
          <t>LILLA EDET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61236-2023</t>
        </is>
      </c>
      <c r="B223" s="1" t="n">
        <v>45264</v>
      </c>
      <c r="C223" s="1" t="n">
        <v>45291</v>
      </c>
      <c r="D223" t="inlineStr">
        <is>
          <t>VÄSTRA GÖTALANDS LÄN</t>
        </is>
      </c>
      <c r="E223" t="inlineStr">
        <is>
          <t>LILLA EDET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61901-2023</t>
        </is>
      </c>
      <c r="B224" s="1" t="n">
        <v>45266</v>
      </c>
      <c r="C224" s="1" t="n">
        <v>45291</v>
      </c>
      <c r="D224" t="inlineStr">
        <is>
          <t>VÄSTRA GÖTALANDS LÄN</t>
        </is>
      </c>
      <c r="E224" t="inlineStr">
        <is>
          <t>LILLA EDET</t>
        </is>
      </c>
      <c r="G224" t="n">
        <v>11.6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62730-2023</t>
        </is>
      </c>
      <c r="B225" s="1" t="n">
        <v>45268</v>
      </c>
      <c r="C225" s="1" t="n">
        <v>45291</v>
      </c>
      <c r="D225" t="inlineStr">
        <is>
          <t>VÄSTRA GÖTALANDS LÄN</t>
        </is>
      </c>
      <c r="E225" t="inlineStr">
        <is>
          <t>LILLA EDET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2023-12-31T12:15:39Z</dcterms:created>
  <dcterms:modified xmlns:dcterms="http://purl.org/dc/terms/" xmlns:xsi="http://www.w3.org/2001/XMLSchema-instance" xsi:type="dcterms:W3CDTF">2023-12-31T12:15:39Z</dcterms:modified>
</cp:coreProperties>
</file>