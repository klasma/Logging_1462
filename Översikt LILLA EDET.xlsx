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46321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12</v>
      </c>
      <c r="T2" t="n">
        <v>30</v>
      </c>
      <c r="U2" t="n">
        <v>19</v>
      </c>
      <c r="V2" s="2" t="inlineStr">
        <is>
          <t>Rutskinn
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46321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30285-2025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45827</v>
      </c>
      <c r="E4" s="1" t="n">
        <v>46321</v>
      </c>
      <c r="F4" t="inlineStr">
        <is>
          <t>VÄSTRA GÖTALANDS LÄN</t>
        </is>
      </c>
      <c r="G4" t="inlineStr">
        <is>
          <t>LILLA EDET</t>
        </is>
      </c>
      <c r="I4" t="n">
        <v>29.6</v>
      </c>
      <c r="J4" t="n">
        <v>3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38</v>
      </c>
      <c r="U4" t="n">
        <v>1</v>
      </c>
      <c r="V4" s="2" t="inlineStr">
        <is>
          <t>Dofttaggsvamp
Blåmossa
Klippfrullania
Stor revmossa
Västlig hakmossa
Mattlummer
Spillkråka
Revlummer</t>
        </is>
      </c>
      <c r="W4">
        <f>HYPERLINK("https://klasma.github.io/Logging_1462/artfynd/A 30285-2025 artfynd.xlsx", "A 30285-2025")</f>
        <v/>
      </c>
      <c r="X4">
        <f>HYPERLINK("https://klasma.github.io/Logging_1462/kartor/A 30285-2025 karta.png", "A 30285-2025")</f>
        <v/>
      </c>
      <c r="Y4">
        <f>HYPERLINK("https://klasma.github.io/Logging_1462/kartor_geotiff/A 30285-2025 georefererad karta.tif", "A 30285-2025")</f>
        <v/>
      </c>
      <c r="AA4">
        <f>HYPERLINK("https://klasma.github.io/Logging_1462/klagomål/A 30285-2025 FSC-klagomål.docx", "A 30285-2025")</f>
        <v/>
      </c>
      <c r="AB4">
        <f>HYPERLINK("https://klasma.github.io/Logging_1462/klagomålsmail/A 30285-2025 FSC-klagomål mail.docx", "A 30285-2025")</f>
        <v/>
      </c>
      <c r="AC4">
        <f>HYPERLINK("https://klasma.github.io/Logging_1462/tillsyn/A 30285-2025 tillsynsbegäran.docx", "A 30285-2025")</f>
        <v/>
      </c>
      <c r="AD4">
        <f>HYPERLINK("https://klasma.github.io/Logging_1462/tillsynsmail/A 30285-2025 tillsynsbegäran mail.docx", "A 30285-2025")</f>
        <v/>
      </c>
      <c r="AE4">
        <f>HYPERLINK("https://klasma.github.io/Logging_1462/fåglar/A 30285-2025 prioriterade fågelarter.docx", "A 30285-2025")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46321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46321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25</v>
      </c>
      <c r="U6" t="n">
        <v>25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46321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2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46321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28512-2025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45819</v>
      </c>
      <c r="E9" s="1" t="n">
        <v>46321</v>
      </c>
      <c r="F9" t="inlineStr">
        <is>
          <t>VÄSTRA GÖTALANDS LÄN</t>
        </is>
      </c>
      <c r="G9" t="inlineStr">
        <is>
          <t>LILLA EDET</t>
        </is>
      </c>
      <c r="I9" t="n">
        <v>10.9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19</v>
      </c>
      <c r="U9" t="n">
        <v>19</v>
      </c>
      <c r="V9" s="2" t="inlineStr">
        <is>
          <t>Blåmossa
Västlig hakmossa
Spillkråka
Tjäder</t>
        </is>
      </c>
      <c r="W9">
        <f>HYPERLINK("https://klasma.github.io/Logging_1462/artfynd/A 28512-2025 artfynd.xlsx", "A 28512-2025")</f>
        <v/>
      </c>
      <c r="X9">
        <f>HYPERLINK("https://klasma.github.io/Logging_1462/kartor/A 28512-2025 karta.png", "A 28512-2025")</f>
        <v/>
      </c>
      <c r="Y9">
        <f>HYPERLINK("https://klasma.github.io/Logging_1462/kartor_geotiff/A 28512-2025 georefererad karta.tif", "A 28512-2025")</f>
        <v/>
      </c>
      <c r="AA9">
        <f>HYPERLINK("https://klasma.github.io/Logging_1462/klagomål/A 28512-2025 FSC-klagomål.docx", "A 28512-2025")</f>
        <v/>
      </c>
      <c r="AB9">
        <f>HYPERLINK("https://klasma.github.io/Logging_1462/klagomålsmail/A 28512-2025 FSC-klagomål mail.docx", "A 28512-2025")</f>
        <v/>
      </c>
      <c r="AC9">
        <f>HYPERLINK("https://klasma.github.io/Logging_1462/tillsyn/A 28512-2025 tillsynsbegäran.docx", "A 28512-2025")</f>
        <v/>
      </c>
      <c r="AD9">
        <f>HYPERLINK("https://klasma.github.io/Logging_1462/tillsynsmail/A 28512-2025 tillsynsbegäran mail.docx", "A 28512-2025")</f>
        <v/>
      </c>
      <c r="AE9">
        <f>HYPERLINK("https://klasma.github.io/Logging_1462/fåglar/A 28512-2025 prioriterade fågelarter.docx", "A 28512-2025")</f>
        <v/>
      </c>
    </row>
    <row r="10" ht="15" customHeight="1">
      <c r="A10" t="inlineStr">
        <is>
          <t>A 24290-2026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46169</v>
      </c>
      <c r="E10" s="1" t="n">
        <v>46321</v>
      </c>
      <c r="F10" t="inlineStr">
        <is>
          <t>VÄSTRA GÖTALANDS LÄN</t>
        </is>
      </c>
      <c r="G10" t="inlineStr">
        <is>
          <t>LILLA EDET</t>
        </is>
      </c>
      <c r="I10" t="n">
        <v>3.6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Blanksvart trämyra
Grönpyrola
Västlig hakmossa
Spillkråka</t>
        </is>
      </c>
      <c r="W10">
        <f>HYPERLINK("https://klasma.github.io/Logging_1462/artfynd/A 24290-2026 artfynd.xlsx", "A 24290-2026")</f>
        <v/>
      </c>
      <c r="X10">
        <f>HYPERLINK("https://klasma.github.io/Logging_1462/kartor/A 24290-2026 karta.png", "A 24290-2026")</f>
        <v/>
      </c>
      <c r="Y10">
        <f>HYPERLINK("https://klasma.github.io/Logging_1462/kartor_geotiff/A 24290-2026 georefererad karta.tif", "A 24290-2026")</f>
        <v/>
      </c>
      <c r="AA10">
        <f>HYPERLINK("https://klasma.github.io/Logging_1462/klagomål/A 24290-2026 FSC-klagomål.docx", "A 24290-2026")</f>
        <v/>
      </c>
      <c r="AB10">
        <f>HYPERLINK("https://klasma.github.io/Logging_1462/klagomålsmail/A 24290-2026 FSC-klagomål mail.docx", "A 24290-2026")</f>
        <v/>
      </c>
      <c r="AC10">
        <f>HYPERLINK("https://klasma.github.io/Logging_1462/tillsyn/A 24290-2026 tillsynsbegäran.docx", "A 24290-2026")</f>
        <v/>
      </c>
      <c r="AD10">
        <f>HYPERLINK("https://klasma.github.io/Logging_1462/tillsynsmail/A 24290-2026 tillsynsbegäran mail.docx", "A 24290-2026")</f>
        <v/>
      </c>
      <c r="AE10">
        <f>HYPERLINK("https://klasma.github.io/Logging_1462/fåglar/A 24290-2026 prioriterade fågelarter.docx", "A 24290-2026")</f>
        <v/>
      </c>
    </row>
    <row r="11" ht="15" customHeight="1">
      <c r="A11" t="inlineStr">
        <is>
          <t>A 23563-2023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45072</v>
      </c>
      <c r="E11" s="1" t="n">
        <v>46321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Kyrkan</t>
        </is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Nordfladdermus
Dvärgpipistrell
Vattenfladdermus
Grönvit nattviol</t>
        </is>
      </c>
      <c r="W11">
        <f>HYPERLINK("https://klasma.github.io/Logging_1462/artfynd/A 23563-2023 artfynd.xlsx", "A 23563-2023")</f>
        <v/>
      </c>
      <c r="X11">
        <f>HYPERLINK("https://klasma.github.io/Logging_1462/kartor/A 23563-2023 karta.png", "A 23563-2023")</f>
        <v/>
      </c>
      <c r="Y11">
        <f>HYPERLINK("https://klasma.github.io/Logging_1462/kartor_geotiff/A 23563-2023 georefererad karta.tif", "A 23563-2023")</f>
        <v/>
      </c>
      <c r="AA11">
        <f>HYPERLINK("https://klasma.github.io/Logging_1462/klagomål/A 23563-2023 FSC-klagomål.docx", "A 23563-2023")</f>
        <v/>
      </c>
      <c r="AB11">
        <f>HYPERLINK("https://klasma.github.io/Logging_1462/klagomålsmail/A 23563-2023 FSC-klagomål mail.docx", "A 23563-2023")</f>
        <v/>
      </c>
      <c r="AC11">
        <f>HYPERLINK("https://klasma.github.io/Logging_1462/tillsyn/A 23563-2023 tillsynsbegäran.docx", "A 23563-2023")</f>
        <v/>
      </c>
      <c r="AD11">
        <f>HYPERLINK("https://klasma.github.io/Logging_1462/tillsynsmail/A 23563-2023 tillsynsbegäran mail.docx", "A 23563-2023")</f>
        <v/>
      </c>
    </row>
    <row r="12" ht="15" customHeight="1">
      <c r="A12" t="inlineStr">
        <is>
          <t>A 43771-2023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45187</v>
      </c>
      <c r="E12" s="1" t="n">
        <v>46321</v>
      </c>
      <c r="F12" t="inlineStr">
        <is>
          <t>VÄSTRA GÖTALANDS LÄN</t>
        </is>
      </c>
      <c r="G12" t="inlineStr">
        <is>
          <t>LILLA EDET</t>
        </is>
      </c>
      <c r="I12" t="n">
        <v>1.7</v>
      </c>
      <c r="J12" t="n">
        <v>1</v>
      </c>
      <c r="K12" t="n">
        <v>1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Ask
Slåtterfibbla
Vätteros
Blåsippa</t>
        </is>
      </c>
      <c r="W12">
        <f>HYPERLINK("https://klasma.github.io/Logging_1462/artfynd/A 43771-2023 artfynd.xlsx", "A 43771-2023")</f>
        <v/>
      </c>
      <c r="X12">
        <f>HYPERLINK("https://klasma.github.io/Logging_1462/kartor/A 43771-2023 karta.png", "A 43771-2023")</f>
        <v/>
      </c>
      <c r="Y12">
        <f>HYPERLINK("https://klasma.github.io/Logging_1462/kartor_geotiff/A 43771-2023 georefererad karta.tif", "A 43771-2023")</f>
        <v/>
      </c>
      <c r="AA12">
        <f>HYPERLINK("https://klasma.github.io/Logging_1462/klagomål/A 43771-2023 FSC-klagomål.docx", "A 43771-2023")</f>
        <v/>
      </c>
      <c r="AB12">
        <f>HYPERLINK("https://klasma.github.io/Logging_1462/klagomålsmail/A 43771-2023 FSC-klagomål mail.docx", "A 43771-2023")</f>
        <v/>
      </c>
      <c r="AC12">
        <f>HYPERLINK("https://klasma.github.io/Logging_1462/tillsyn/A 43771-2023 tillsynsbegäran.docx", "A 43771-2023")</f>
        <v/>
      </c>
      <c r="AD12">
        <f>HYPERLINK("https://klasma.github.io/Logging_1462/tillsynsmail/A 43771-2023 tillsynsbegäran mail.docx", "A 43771-2023")</f>
        <v/>
      </c>
    </row>
    <row r="13" ht="15" customHeight="1">
      <c r="A13" t="inlineStr">
        <is>
          <t>A 25298-2024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45462</v>
      </c>
      <c r="E13" s="1" t="n">
        <v>46321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Kommuner</t>
        </is>
      </c>
      <c r="I13" t="n">
        <v>5.9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Björksplintborre
Västlig hakmossa
Spillkråka
Revlummer</t>
        </is>
      </c>
      <c r="W13">
        <f>HYPERLINK("https://klasma.github.io/Logging_1462/artfynd/A 25298-2024 artfynd.xlsx", "A 25298-2024")</f>
        <v/>
      </c>
      <c r="X13">
        <f>HYPERLINK("https://klasma.github.io/Logging_1462/kartor/A 25298-2024 karta.png", "A 25298-2024")</f>
        <v/>
      </c>
      <c r="Y13">
        <f>HYPERLINK("https://klasma.github.io/Logging_1462/kartor_geotiff/A 25298-2024 georefererad karta.tif", "A 25298-2024")</f>
        <v/>
      </c>
      <c r="AA13">
        <f>HYPERLINK("https://klasma.github.io/Logging_1462/klagomål/A 25298-2024 FSC-klagomål.docx", "A 25298-2024")</f>
        <v/>
      </c>
      <c r="AB13">
        <f>HYPERLINK("https://klasma.github.io/Logging_1462/klagomålsmail/A 25298-2024 FSC-klagomål mail.docx", "A 25298-2024")</f>
        <v/>
      </c>
      <c r="AC13">
        <f>HYPERLINK("https://klasma.github.io/Logging_1462/tillsyn/A 25298-2024 tillsynsbegäran.docx", "A 25298-2024")</f>
        <v/>
      </c>
      <c r="AD13">
        <f>HYPERLINK("https://klasma.github.io/Logging_1462/tillsynsmail/A 25298-2024 tillsynsbegäran mail.docx", "A 25298-2024")</f>
        <v/>
      </c>
      <c r="AE13">
        <f>HYPERLINK("https://klasma.github.io/Logging_1462/fåglar/A 25298-2024 prioriterade fågelarter.docx", "A 25298-2024")</f>
        <v/>
      </c>
    </row>
    <row r="14" ht="15" customHeight="1">
      <c r="A14" t="inlineStr">
        <is>
          <t>A 23559-2023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46321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8</v>
      </c>
      <c r="U14" t="n">
        <v>8</v>
      </c>
      <c r="V14" s="2" t="inlineStr">
        <is>
          <t>Flodpärlmussla
Spillkråka
Revlummer</t>
        </is>
      </c>
      <c r="W14">
        <f>HYPERLINK("https://klasma.github.io/Logging_1462/artfynd/A 23559-2023 artfynd.xlsx", "A 23559-2023")</f>
        <v/>
      </c>
      <c r="X14">
        <f>HYPERLINK("https://klasma.github.io/Logging_1462/kartor/A 23559-2023 karta.png", "A 23559-2023")</f>
        <v/>
      </c>
      <c r="Y14">
        <f>HYPERLINK("https://klasma.github.io/Logging_1462/kartor_geotiff/A 23559-2023 georefererad karta.tif", "A 23559-2023")</f>
        <v/>
      </c>
      <c r="AA14">
        <f>HYPERLINK("https://klasma.github.io/Logging_1462/klagomål/A 23559-2023 FSC-klagomål.docx", "A 23559-2023")</f>
        <v/>
      </c>
      <c r="AB14">
        <f>HYPERLINK("https://klasma.github.io/Logging_1462/klagomålsmail/A 23559-2023 FSC-klagomål mail.docx", "A 23559-2023")</f>
        <v/>
      </c>
      <c r="AC14">
        <f>HYPERLINK("https://klasma.github.io/Logging_1462/tillsyn/A 23559-2023 tillsynsbegäran.docx", "A 23559-2023")</f>
        <v/>
      </c>
      <c r="AD14">
        <f>HYPERLINK("https://klasma.github.io/Logging_1462/tillsynsmail/A 23559-2023 tillsynsbegäran mail.docx", "A 23559-2023")</f>
        <v/>
      </c>
      <c r="AE14">
        <f>HYPERLINK("https://klasma.github.io/Logging_1462/fåglar/A 23559-2023 prioriterade fågelarter.docx", "A 23559-2023")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46321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46321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25655-2023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45089</v>
      </c>
      <c r="E17" s="1" t="n">
        <v>46321</v>
      </c>
      <c r="F17" t="inlineStr">
        <is>
          <t>VÄSTRA GÖTALANDS LÄN</t>
        </is>
      </c>
      <c r="G17" t="inlineStr">
        <is>
          <t>LILLA EDET</t>
        </is>
      </c>
      <c r="I17" t="n">
        <v>5.1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9</v>
      </c>
      <c r="U17" t="n">
        <v>7</v>
      </c>
      <c r="V17" s="2" t="inlineStr">
        <is>
          <t>Bergjohannesört
Svinrot
Fläcknycklar</t>
        </is>
      </c>
      <c r="W17">
        <f>HYPERLINK("https://klasma.github.io/Logging_1462/artfynd/A 25655-2023 artfynd.xlsx", "A 25655-2023")</f>
        <v/>
      </c>
      <c r="X17">
        <f>HYPERLINK("https://klasma.github.io/Logging_1462/kartor/A 25655-2023 karta.png", "A 25655-2023")</f>
        <v/>
      </c>
      <c r="Y17">
        <f>HYPERLINK("https://klasma.github.io/Logging_1462/kartor_geotiff/A 25655-2023 georefererad karta.tif", "A 25655-2023")</f>
        <v/>
      </c>
      <c r="AA17">
        <f>HYPERLINK("https://klasma.github.io/Logging_1462/klagomål/A 25655-2023 FSC-klagomål.docx", "A 25655-2023")</f>
        <v/>
      </c>
      <c r="AB17">
        <f>HYPERLINK("https://klasma.github.io/Logging_1462/klagomålsmail/A 25655-2023 FSC-klagomål mail.docx", "A 25655-2023")</f>
        <v/>
      </c>
      <c r="AC17">
        <f>HYPERLINK("https://klasma.github.io/Logging_1462/tillsyn/A 25655-2023 tillsynsbegäran.docx", "A 25655-2023")</f>
        <v/>
      </c>
      <c r="AD17">
        <f>HYPERLINK("https://klasma.github.io/Logging_1462/tillsynsmail/A 25655-2023 tillsynsbegäran mail.docx", "A 25655-2023")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46321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32690-2026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46240</v>
      </c>
      <c r="E19" s="1" t="n">
        <v>46321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4.6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Skirmossa
Dunmossa</t>
        </is>
      </c>
      <c r="W19">
        <f>HYPERLINK("https://klasma.github.io/Logging_1462/artfynd/A 32690-2026 artfynd.xlsx", "A 32690-2026")</f>
        <v/>
      </c>
      <c r="X19">
        <f>HYPERLINK("https://klasma.github.io/Logging_1462/kartor/A 32690-2026 karta.png", "A 32690-2026")</f>
        <v/>
      </c>
      <c r="Y19">
        <f>HYPERLINK("https://klasma.github.io/Logging_1462/kartor_geotiff/A 32690-2026 georefererad karta.tif", "A 32690-2026")</f>
        <v/>
      </c>
      <c r="AA19">
        <f>HYPERLINK("https://klasma.github.io/Logging_1462/klagomål/A 32690-2026 FSC-klagomål.docx", "A 32690-2026")</f>
        <v/>
      </c>
      <c r="AB19">
        <f>HYPERLINK("https://klasma.github.io/Logging_1462/klagomålsmail/A 32690-2026 FSC-klagomål mail.docx", "A 32690-2026")</f>
        <v/>
      </c>
      <c r="AC19">
        <f>HYPERLINK("https://klasma.github.io/Logging_1462/tillsyn/A 32690-2026 tillsynsbegäran.docx", "A 32690-2026")</f>
        <v/>
      </c>
      <c r="AD19">
        <f>HYPERLINK("https://klasma.github.io/Logging_1462/tillsynsmail/A 32690-2026 tillsynsbegäran mail.docx", "A 32690-2026")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46321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46321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46321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46321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46321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46321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46321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32692-2026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46240</v>
      </c>
      <c r="E27" s="1" t="n">
        <v>46321</v>
      </c>
      <c r="F27" t="inlineStr">
        <is>
          <t>VÄSTRA GÖTALANDS LÄN</t>
        </is>
      </c>
      <c r="G27" t="inlineStr">
        <is>
          <t>LILLA EDET</t>
        </is>
      </c>
      <c r="H27" t="inlineStr">
        <is>
          <t>Kyrkan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Ormbär</t>
        </is>
      </c>
      <c r="W27">
        <f>HYPERLINK("https://klasma.github.io/Logging_1462/artfynd/A 32692-2026 artfynd.xlsx", "A 32692-2026")</f>
        <v/>
      </c>
      <c r="X27">
        <f>HYPERLINK("https://klasma.github.io/Logging_1462/kartor/A 32692-2026 karta.png", "A 32692-2026")</f>
        <v/>
      </c>
      <c r="Y27">
        <f>HYPERLINK("https://klasma.github.io/Logging_1462/kartor_geotiff/A 32692-2026 georefererad karta.tif", "A 32692-2026")</f>
        <v/>
      </c>
      <c r="AA27">
        <f>HYPERLINK("https://klasma.github.io/Logging_1462/klagomål/A 32692-2026 FSC-klagomål.docx", "A 32692-2026")</f>
        <v/>
      </c>
      <c r="AB27">
        <f>HYPERLINK("https://klasma.github.io/Logging_1462/klagomålsmail/A 32692-2026 FSC-klagomål mail.docx", "A 32692-2026")</f>
        <v/>
      </c>
      <c r="AC27">
        <f>HYPERLINK("https://klasma.github.io/Logging_1462/tillsyn/A 32692-2026 tillsynsbegäran.docx", "A 32692-2026")</f>
        <v/>
      </c>
      <c r="AD27">
        <f>HYPERLINK("https://klasma.github.io/Logging_1462/tillsynsmail/A 32692-2026 tillsynsbegäran mail.docx", "A 32692-2026")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46321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46321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46321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HYPERLINK("https://klasma.github.io/Logging_1462/artfynd/A 11102-2024 artfynd.xlsx", "A 11102-2024")</f>
        <v/>
      </c>
      <c r="X30">
        <f>HYPERLINK("https://klasma.github.io/Logging_1462/kartor/A 11102-2024 karta.png", "A 11102-2024")</f>
        <v/>
      </c>
      <c r="Y30">
        <f>HYPERLINK("https://klasma.github.io/Logging_1462/kartor_geotiff/A 11102-2024 georefererad karta.tif", "A 11102-2024")</f>
        <v/>
      </c>
      <c r="AA30">
        <f>HYPERLINK("https://klasma.github.io/Logging_1462/klagomål/A 11102-2024 FSC-klagomål.docx", "A 11102-2024")</f>
        <v/>
      </c>
      <c r="AB30">
        <f>HYPERLINK("https://klasma.github.io/Logging_1462/klagomålsmail/A 11102-2024 FSC-klagomål mail.docx", "A 11102-2024")</f>
        <v/>
      </c>
      <c r="AC30">
        <f>HYPERLINK("https://klasma.github.io/Logging_1462/tillsyn/A 11102-2024 tillsynsbegäran.docx", "A 11102-2024")</f>
        <v/>
      </c>
      <c r="AD30">
        <f>HYPERLINK("https://klasma.github.io/Logging_1462/tillsynsmail/A 11102-2024 tillsynsbegäran mail.docx", "A 11102-2024")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46321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46321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46321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18346-2022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44685</v>
      </c>
      <c r="E34" s="1" t="n">
        <v>46321</v>
      </c>
      <c r="F34" t="inlineStr">
        <is>
          <t>VÄSTRA GÖTALANDS LÄN</t>
        </is>
      </c>
      <c r="G34" t="inlineStr">
        <is>
          <t>LILLA EDET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46321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46321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46321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46321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46321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46321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46321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44811</v>
      </c>
      <c r="E42" s="1" t="n">
        <v>46321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44565</v>
      </c>
      <c r="E43" s="1" t="n">
        <v>46321</v>
      </c>
      <c r="F43" t="inlineStr">
        <is>
          <t>VÄSTRA GÖTALANDS LÄN</t>
        </is>
      </c>
      <c r="G43" t="inlineStr">
        <is>
          <t>LILLA EDET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46321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46321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45677</v>
      </c>
      <c r="E46" s="1" t="n">
        <v>46321</v>
      </c>
      <c r="F46" t="inlineStr">
        <is>
          <t>VÄSTRA GÖTALANDS LÄN</t>
        </is>
      </c>
      <c r="G46" t="inlineStr">
        <is>
          <t>LILLA EDET</t>
        </is>
      </c>
      <c r="I46" t="n">
        <v>10.7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44627</v>
      </c>
      <c r="E47" s="1" t="n">
        <v>46321</v>
      </c>
      <c r="F47" t="inlineStr">
        <is>
          <t>VÄSTRA GÖTALANDS LÄN</t>
        </is>
      </c>
      <c r="G47" t="inlineStr">
        <is>
          <t>LILLA EDET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35423-2025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45855</v>
      </c>
      <c r="E48" s="1" t="n">
        <v>46321</v>
      </c>
      <c r="F48" t="inlineStr">
        <is>
          <t>VÄSTRA GÖTALANDS LÄN</t>
        </is>
      </c>
      <c r="G48" t="inlineStr">
        <is>
          <t>LILLA EDET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13382-2023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45005</v>
      </c>
      <c r="E49" s="1" t="n">
        <v>46321</v>
      </c>
      <c r="F49" t="inlineStr">
        <is>
          <t>VÄSTRA GÖTALANDS LÄN</t>
        </is>
      </c>
      <c r="G49" t="inlineStr">
        <is>
          <t>LILLA EDET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38093-2022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44811</v>
      </c>
      <c r="E50" s="1" t="n">
        <v>46321</v>
      </c>
      <c r="F50" t="inlineStr">
        <is>
          <t>VÄSTRA GÖTALANDS LÄN</t>
        </is>
      </c>
      <c r="G50" t="inlineStr">
        <is>
          <t>LILLA EDET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46321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12784-2025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46321</v>
      </c>
      <c r="F52" t="inlineStr">
        <is>
          <t>VÄSTRA GÖTALANDS LÄN</t>
        </is>
      </c>
      <c r="G52" t="inlineStr">
        <is>
          <t>LILLA EDET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16473-2022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44671</v>
      </c>
      <c r="E53" s="1" t="n">
        <v>46321</v>
      </c>
      <c r="F53" t="inlineStr">
        <is>
          <t>VÄSTRA GÖTALANDS LÄN</t>
        </is>
      </c>
      <c r="G53" t="inlineStr">
        <is>
          <t>LILLA EDET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41758-2025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45902</v>
      </c>
      <c r="E54" s="1" t="n">
        <v>46321</v>
      </c>
      <c r="F54" t="inlineStr">
        <is>
          <t>VÄSTRA GÖTALANDS LÄN</t>
        </is>
      </c>
      <c r="G54" t="inlineStr">
        <is>
          <t>LILLA EDET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35422-2025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45855</v>
      </c>
      <c r="E55" s="1" t="n">
        <v>46321</v>
      </c>
      <c r="F55" t="inlineStr">
        <is>
          <t>VÄSTRA GÖTALANDS LÄN</t>
        </is>
      </c>
      <c r="G55" t="inlineStr">
        <is>
          <t>LILLA EDET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42857-2025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45908</v>
      </c>
      <c r="E56" s="1" t="n">
        <v>46321</v>
      </c>
      <c r="F56" t="inlineStr">
        <is>
          <t>VÄSTRA GÖTALANDS LÄN</t>
        </is>
      </c>
      <c r="G56" t="inlineStr">
        <is>
          <t>LILLA EDET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40092-2024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45554</v>
      </c>
      <c r="E57" s="1" t="n">
        <v>46321</v>
      </c>
      <c r="F57" t="inlineStr">
        <is>
          <t>VÄSTRA GÖTALANDS LÄN</t>
        </is>
      </c>
      <c r="G57" t="inlineStr">
        <is>
          <t>LILLA EDET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46321</v>
      </c>
      <c r="F58" t="inlineStr">
        <is>
          <t>VÄSTRA GÖTALANDS LÄN</t>
        </is>
      </c>
      <c r="G58" t="inlineStr">
        <is>
          <t>LILLA EDET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57754-2023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45246</v>
      </c>
      <c r="E59" s="1" t="n">
        <v>46321</v>
      </c>
      <c r="F59" t="inlineStr">
        <is>
          <t>VÄSTRA GÖTALANDS LÄN</t>
        </is>
      </c>
      <c r="G59" t="inlineStr">
        <is>
          <t>LILLA EDET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44914-2025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46321</v>
      </c>
      <c r="F60" t="inlineStr">
        <is>
          <t>VÄSTRA GÖTALANDS LÄN</t>
        </is>
      </c>
      <c r="G60" t="inlineStr">
        <is>
          <t>LILLA EDET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44915-2025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46321</v>
      </c>
      <c r="F61" t="inlineStr">
        <is>
          <t>VÄSTRA GÖTALANDS LÄN</t>
        </is>
      </c>
      <c r="G61" t="inlineStr">
        <is>
          <t>LILLA EDET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46321</v>
      </c>
      <c r="F62" t="inlineStr">
        <is>
          <t>VÄSTRA GÖTALANDS LÄN</t>
        </is>
      </c>
      <c r="G62" t="inlineStr">
        <is>
          <t>LILLA EDET</t>
        </is>
      </c>
      <c r="I62" t="n">
        <v>5.7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46321</v>
      </c>
      <c r="F63" t="inlineStr">
        <is>
          <t>VÄSTRA GÖTALANDS LÄN</t>
        </is>
      </c>
      <c r="G63" t="inlineStr">
        <is>
          <t>LILLA EDET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23541-2026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46163</v>
      </c>
      <c r="E64" s="1" t="n">
        <v>46321</v>
      </c>
      <c r="F64" t="inlineStr">
        <is>
          <t>VÄSTRA GÖTALANDS LÄN</t>
        </is>
      </c>
      <c r="G64" t="inlineStr">
        <is>
          <t>LILLA EDET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14891-2025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45743</v>
      </c>
      <c r="E65" s="1" t="n">
        <v>46321</v>
      </c>
      <c r="F65" t="inlineStr">
        <is>
          <t>VÄSTRA GÖTALANDS LÄN</t>
        </is>
      </c>
      <c r="G65" t="inlineStr">
        <is>
          <t>LILLA EDET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24700-2026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46171</v>
      </c>
      <c r="E66" s="1" t="n">
        <v>46321</v>
      </c>
      <c r="F66" t="inlineStr">
        <is>
          <t>VÄSTRA GÖTALANDS LÄN</t>
        </is>
      </c>
      <c r="G66" t="inlineStr">
        <is>
          <t>LILLA EDET</t>
        </is>
      </c>
      <c r="H66" t="inlineStr">
        <is>
          <t>Kyrkan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57381-2022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44896</v>
      </c>
      <c r="E67" s="1" t="n">
        <v>46321</v>
      </c>
      <c r="F67" t="inlineStr">
        <is>
          <t>VÄSTRA GÖTALANDS LÄN</t>
        </is>
      </c>
      <c r="G67" t="inlineStr">
        <is>
          <t>LILLA EDET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48727-2025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45936</v>
      </c>
      <c r="E68" s="1" t="n">
        <v>46321</v>
      </c>
      <c r="F68" t="inlineStr">
        <is>
          <t>VÄSTRA GÖTALANDS LÄN</t>
        </is>
      </c>
      <c r="G68" t="inlineStr">
        <is>
          <t>LILLA EDET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45936</v>
      </c>
      <c r="E69" s="1" t="n">
        <v>46321</v>
      </c>
      <c r="F69" t="inlineStr">
        <is>
          <t>VÄSTRA GÖTALANDS LÄN</t>
        </is>
      </c>
      <c r="G69" t="inlineStr">
        <is>
          <t>LILLA EDET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46321</v>
      </c>
      <c r="F70" t="inlineStr">
        <is>
          <t>VÄSTRA GÖTALANDS LÄN</t>
        </is>
      </c>
      <c r="G70" t="inlineStr">
        <is>
          <t>LILLA EDET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46321</v>
      </c>
      <c r="F71" t="inlineStr">
        <is>
          <t>VÄSTRA GÖTALANDS LÄN</t>
        </is>
      </c>
      <c r="G71" t="inlineStr">
        <is>
          <t>LILLA EDET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49188-2025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45938</v>
      </c>
      <c r="E72" s="1" t="n">
        <v>46321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45034</v>
      </c>
      <c r="E73" s="1" t="n">
        <v>46321</v>
      </c>
      <c r="F73" t="inlineStr">
        <is>
          <t>VÄSTRA GÖTALANDS LÄN</t>
        </is>
      </c>
      <c r="G73" t="inlineStr">
        <is>
          <t>LILLA EDET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13887-2024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45391</v>
      </c>
      <c r="E74" s="1" t="n">
        <v>46321</v>
      </c>
      <c r="F74" t="inlineStr">
        <is>
          <t>VÄSTRA GÖTALANDS LÄN</t>
        </is>
      </c>
      <c r="G74" t="inlineStr">
        <is>
          <t>LILLA EDET</t>
        </is>
      </c>
      <c r="I74" t="n">
        <v>11.3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61284-2022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44915</v>
      </c>
      <c r="E75" s="1" t="n">
        <v>46321</v>
      </c>
      <c r="F75" t="inlineStr">
        <is>
          <t>VÄSTRA GÖTALANDS LÄN</t>
        </is>
      </c>
      <c r="G75" t="inlineStr">
        <is>
          <t>LILLA EDET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45225</v>
      </c>
      <c r="E76" s="1" t="n">
        <v>46321</v>
      </c>
      <c r="F76" t="inlineStr">
        <is>
          <t>VÄSTRA GÖTALANDS LÄN</t>
        </is>
      </c>
      <c r="G76" t="inlineStr">
        <is>
          <t>LILLA EDET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45001</v>
      </c>
      <c r="E77" s="1" t="n">
        <v>46321</v>
      </c>
      <c r="F77" t="inlineStr">
        <is>
          <t>VÄSTRA GÖTALANDS LÄN</t>
        </is>
      </c>
      <c r="G77" t="inlineStr">
        <is>
          <t>LILLA EDET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45693</v>
      </c>
      <c r="E78" s="1" t="n">
        <v>46321</v>
      </c>
      <c r="F78" t="inlineStr">
        <is>
          <t>VÄSTRA GÖTALANDS LÄN</t>
        </is>
      </c>
      <c r="G78" t="inlineStr">
        <is>
          <t>LILLA EDET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46321</v>
      </c>
      <c r="F79" t="inlineStr">
        <is>
          <t>VÄSTRA GÖTALANDS LÄN</t>
        </is>
      </c>
      <c r="G79" t="inlineStr">
        <is>
          <t>LILLA EDET</t>
        </is>
      </c>
      <c r="H79" t="inlineStr">
        <is>
          <t>Kyrkan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29068-2024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45481</v>
      </c>
      <c r="E80" s="1" t="n">
        <v>46321</v>
      </c>
      <c r="F80" t="inlineStr">
        <is>
          <t>VÄSTRA GÖTALANDS LÄN</t>
        </is>
      </c>
      <c r="G80" t="inlineStr">
        <is>
          <t>LILLA EDET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25729-2026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46178</v>
      </c>
      <c r="E81" s="1" t="n">
        <v>46321</v>
      </c>
      <c r="F81" t="inlineStr">
        <is>
          <t>VÄSTRA GÖTALANDS LÄN</t>
        </is>
      </c>
      <c r="G81" t="inlineStr">
        <is>
          <t>LILLA EDET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45692</v>
      </c>
      <c r="E82" s="1" t="n">
        <v>46321</v>
      </c>
      <c r="F82" t="inlineStr">
        <is>
          <t>VÄSTRA GÖTALANDS LÄN</t>
        </is>
      </c>
      <c r="G82" t="inlineStr">
        <is>
          <t>LILLA EDET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45390</v>
      </c>
      <c r="E83" s="1" t="n">
        <v>46321</v>
      </c>
      <c r="F83" t="inlineStr">
        <is>
          <t>VÄSTRA GÖTALANDS LÄN</t>
        </is>
      </c>
      <c r="G83" t="inlineStr">
        <is>
          <t>LILLA EDET</t>
        </is>
      </c>
      <c r="I83" t="n">
        <v>16.4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37063-2024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45539</v>
      </c>
      <c r="E84" s="1" t="n">
        <v>46321</v>
      </c>
      <c r="F84" t="inlineStr">
        <is>
          <t>VÄSTRA GÖTALANDS LÄN</t>
        </is>
      </c>
      <c r="G84" t="inlineStr">
        <is>
          <t>LILLA EDET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45016</v>
      </c>
      <c r="E85" s="1" t="n">
        <v>46321</v>
      </c>
      <c r="F85" t="inlineStr">
        <is>
          <t>VÄSTRA GÖTALANDS LÄN</t>
        </is>
      </c>
      <c r="G85" t="inlineStr">
        <is>
          <t>LILLA EDET</t>
        </is>
      </c>
      <c r="H85" t="inlineStr">
        <is>
          <t>Kommuner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27643-2026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46190</v>
      </c>
      <c r="E86" s="1" t="n">
        <v>46321</v>
      </c>
      <c r="F86" t="inlineStr">
        <is>
          <t>VÄSTRA GÖTALANDS LÄN</t>
        </is>
      </c>
      <c r="G86" t="inlineStr">
        <is>
          <t>LILLA EDET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45299</v>
      </c>
      <c r="E87" s="1" t="n">
        <v>46321</v>
      </c>
      <c r="F87" t="inlineStr">
        <is>
          <t>VÄSTRA GÖTALANDS LÄN</t>
        </is>
      </c>
      <c r="G87" t="inlineStr">
        <is>
          <t>LILLA EDET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55324-2025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45971</v>
      </c>
      <c r="E88" s="1" t="n">
        <v>46321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Sveaskog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45008</v>
      </c>
      <c r="E89" s="1" t="n">
        <v>46321</v>
      </c>
      <c r="F89" t="inlineStr">
        <is>
          <t>VÄSTRA GÖTALANDS LÄN</t>
        </is>
      </c>
      <c r="G89" t="inlineStr">
        <is>
          <t>LILLA EDET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45371</v>
      </c>
      <c r="E90" s="1" t="n">
        <v>46321</v>
      </c>
      <c r="F90" t="inlineStr">
        <is>
          <t>VÄSTRA GÖTALANDS LÄN</t>
        </is>
      </c>
      <c r="G90" t="inlineStr">
        <is>
          <t>LILLA EDET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8071-2024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46321</v>
      </c>
      <c r="F91" t="inlineStr">
        <is>
          <t>VÄSTRA GÖTALANDS LÄN</t>
        </is>
      </c>
      <c r="G91" t="inlineStr">
        <is>
          <t>LILLA EDET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46321</v>
      </c>
      <c r="F92" t="inlineStr">
        <is>
          <t>VÄSTRA GÖTALANDS LÄN</t>
        </is>
      </c>
      <c r="G92" t="inlineStr">
        <is>
          <t>LILLA EDET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45296</v>
      </c>
      <c r="E93" s="1" t="n">
        <v>46321</v>
      </c>
      <c r="F93" t="inlineStr">
        <is>
          <t>VÄSTRA GÖTALANDS LÄN</t>
        </is>
      </c>
      <c r="G93" t="inlineStr">
        <is>
          <t>LILLA EDET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45268</v>
      </c>
      <c r="E94" s="1" t="n">
        <v>46321</v>
      </c>
      <c r="F94" t="inlineStr">
        <is>
          <t>VÄSTRA GÖTALANDS LÄN</t>
        </is>
      </c>
      <c r="G94" t="inlineStr">
        <is>
          <t>LILLA EDET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30605-2026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46210</v>
      </c>
      <c r="E95" s="1" t="n">
        <v>46321</v>
      </c>
      <c r="F95" t="inlineStr">
        <is>
          <t>VÄSTRA GÖTALANDS LÄN</t>
        </is>
      </c>
      <c r="G95" t="inlineStr">
        <is>
          <t>LILLA EDET</t>
        </is>
      </c>
      <c r="I95" t="n">
        <v>10.5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46321</v>
      </c>
      <c r="F96" t="inlineStr">
        <is>
          <t>VÄSTRA GÖTALANDS LÄN</t>
        </is>
      </c>
      <c r="G96" t="inlineStr">
        <is>
          <t>LILLA EDET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45213</v>
      </c>
      <c r="E97" s="1" t="n">
        <v>46321</v>
      </c>
      <c r="F97" t="inlineStr">
        <is>
          <t>VÄSTRA GÖTALANDS LÄN</t>
        </is>
      </c>
      <c r="G97" t="inlineStr">
        <is>
          <t>LILLA EDET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45692</v>
      </c>
      <c r="E98" s="1" t="n">
        <v>46321</v>
      </c>
      <c r="F98" t="inlineStr">
        <is>
          <t>VÄSTRA GÖTALANDS LÄN</t>
        </is>
      </c>
      <c r="G98" t="inlineStr">
        <is>
          <t>LILLA EDET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45684</v>
      </c>
      <c r="E99" s="1" t="n">
        <v>46321</v>
      </c>
      <c r="F99" t="inlineStr">
        <is>
          <t>VÄSTRA GÖTALANDS LÄN</t>
        </is>
      </c>
      <c r="G99" t="inlineStr">
        <is>
          <t>LILLA EDET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45441</v>
      </c>
      <c r="E100" s="1" t="n">
        <v>46321</v>
      </c>
      <c r="F100" t="inlineStr">
        <is>
          <t>VÄSTRA GÖTALANDS LÄN</t>
        </is>
      </c>
      <c r="G100" t="inlineStr">
        <is>
          <t>LILLA EDET</t>
        </is>
      </c>
      <c r="I100" t="n">
        <v>9.699999999999999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30724-2024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45496</v>
      </c>
      <c r="E101" s="1" t="n">
        <v>46321</v>
      </c>
      <c r="F101" t="inlineStr">
        <is>
          <t>VÄSTRA GÖTALANDS LÄN</t>
        </is>
      </c>
      <c r="G101" t="inlineStr">
        <is>
          <t>LILLA EDET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45789</v>
      </c>
      <c r="E102" s="1" t="n">
        <v>46321</v>
      </c>
      <c r="F102" t="inlineStr">
        <is>
          <t>VÄSTRA GÖTALANDS LÄN</t>
        </is>
      </c>
      <c r="G102" t="inlineStr">
        <is>
          <t>LILLA EDET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46321</v>
      </c>
      <c r="F103" t="inlineStr">
        <is>
          <t>VÄSTRA GÖTALANDS LÄN</t>
        </is>
      </c>
      <c r="G103" t="inlineStr">
        <is>
          <t>LILLA EDET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45791</v>
      </c>
      <c r="E104" s="1" t="n">
        <v>46321</v>
      </c>
      <c r="F104" t="inlineStr">
        <is>
          <t>VÄSTRA GÖTALANDS LÄN</t>
        </is>
      </c>
      <c r="G104" t="inlineStr">
        <is>
          <t>LILLA EDET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12790-2025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45733</v>
      </c>
      <c r="E105" s="1" t="n">
        <v>46321</v>
      </c>
      <c r="F105" t="inlineStr">
        <is>
          <t>VÄSTRA GÖTALANDS LÄN</t>
        </is>
      </c>
      <c r="G105" t="inlineStr">
        <is>
          <t>LILLA EDET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45729</v>
      </c>
      <c r="E106" s="1" t="n">
        <v>46321</v>
      </c>
      <c r="F106" t="inlineStr">
        <is>
          <t>VÄSTRA GÖTALANDS LÄN</t>
        </is>
      </c>
      <c r="G106" t="inlineStr">
        <is>
          <t>LILLA EDET</t>
        </is>
      </c>
      <c r="I106" t="n">
        <v>10.2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46242</v>
      </c>
      <c r="E107" s="1" t="n">
        <v>46321</v>
      </c>
      <c r="F107" t="inlineStr">
        <is>
          <t>VÄSTRA GÖTALANDS LÄN</t>
        </is>
      </c>
      <c r="G107" t="inlineStr">
        <is>
          <t>LILLA EDET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24053-2025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45796</v>
      </c>
      <c r="E108" s="1" t="n">
        <v>46321</v>
      </c>
      <c r="F108" t="inlineStr">
        <is>
          <t>VÄSTRA GÖTALANDS LÄN</t>
        </is>
      </c>
      <c r="G108" t="inlineStr">
        <is>
          <t>LILLA EDET</t>
        </is>
      </c>
      <c r="I108" t="n">
        <v>11.1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45694</v>
      </c>
      <c r="E109" s="1" t="n">
        <v>46321</v>
      </c>
      <c r="F109" t="inlineStr">
        <is>
          <t>VÄSTRA GÖTALANDS LÄN</t>
        </is>
      </c>
      <c r="G109" t="inlineStr">
        <is>
          <t>LILLA EDET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7819-2025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46321</v>
      </c>
      <c r="F110" t="inlineStr">
        <is>
          <t>VÄSTRA GÖTALANDS LÄN</t>
        </is>
      </c>
      <c r="G110" t="inlineStr">
        <is>
          <t>LILLA EDET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33993-2023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45134</v>
      </c>
      <c r="E111" s="1" t="n">
        <v>46321</v>
      </c>
      <c r="F111" t="inlineStr">
        <is>
          <t>VÄSTRA GÖTALANDS LÄN</t>
        </is>
      </c>
      <c r="G111" t="inlineStr">
        <is>
          <t>LILLA EDET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33996-2023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45134</v>
      </c>
      <c r="E112" s="1" t="n">
        <v>46321</v>
      </c>
      <c r="F112" t="inlineStr">
        <is>
          <t>VÄSTRA GÖTALANDS LÄN</t>
        </is>
      </c>
      <c r="G112" t="inlineStr">
        <is>
          <t>LILLA EDET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46321</v>
      </c>
      <c r="F113" t="inlineStr">
        <is>
          <t>VÄSTRA GÖTALANDS LÄN</t>
        </is>
      </c>
      <c r="G113" t="inlineStr">
        <is>
          <t>LILLA EDET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46321</v>
      </c>
      <c r="F114" t="inlineStr">
        <is>
          <t>VÄSTRA GÖTALANDS LÄN</t>
        </is>
      </c>
      <c r="G114" t="inlineStr">
        <is>
          <t>LILLA EDET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45539</v>
      </c>
      <c r="E115" s="1" t="n">
        <v>46321</v>
      </c>
      <c r="F115" t="inlineStr">
        <is>
          <t>VÄSTRA GÖTALANDS LÄN</t>
        </is>
      </c>
      <c r="G115" t="inlineStr">
        <is>
          <t>LILLA EDET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45812</v>
      </c>
      <c r="E116" s="1" t="n">
        <v>46321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56584-2025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46321</v>
      </c>
      <c r="F117" t="inlineStr">
        <is>
          <t>VÄSTRA GÖTALANDS LÄN</t>
        </is>
      </c>
      <c r="G117" t="inlineStr">
        <is>
          <t>LILLA EDET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46321</v>
      </c>
      <c r="F118" t="inlineStr">
        <is>
          <t>VÄSTRA GÖTALANDS LÄN</t>
        </is>
      </c>
      <c r="G118" t="inlineStr">
        <is>
          <t>LILLA EDET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33842-2026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46251</v>
      </c>
      <c r="E119" s="1" t="n">
        <v>46321</v>
      </c>
      <c r="F119" t="inlineStr">
        <is>
          <t>VÄSTRA GÖTALANDS LÄN</t>
        </is>
      </c>
      <c r="G119" t="inlineStr">
        <is>
          <t>LILLA EDET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46321</v>
      </c>
      <c r="F120" t="inlineStr">
        <is>
          <t>VÄSTRA GÖTALANDS LÄN</t>
        </is>
      </c>
      <c r="G120" t="inlineStr">
        <is>
          <t>LILLA EDET</t>
        </is>
      </c>
      <c r="H120" t="inlineStr">
        <is>
          <t>Kyrkan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65619-2021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44516</v>
      </c>
      <c r="E121" s="1" t="n">
        <v>46321</v>
      </c>
      <c r="F121" t="inlineStr">
        <is>
          <t>VÄSTRA GÖTALANDS LÄN</t>
        </is>
      </c>
      <c r="G121" t="inlineStr">
        <is>
          <t>LILLA EDET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46321</v>
      </c>
      <c r="F122" t="inlineStr">
        <is>
          <t>VÄSTRA GÖTALANDS LÄN</t>
        </is>
      </c>
      <c r="G122" t="inlineStr">
        <is>
          <t>LILLA EDET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44869</v>
      </c>
      <c r="E123" s="1" t="n">
        <v>46321</v>
      </c>
      <c r="F123" t="inlineStr">
        <is>
          <t>VÄSTRA GÖTALANDS LÄN</t>
        </is>
      </c>
      <c r="G123" t="inlineStr">
        <is>
          <t>LILLA EDET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46321</v>
      </c>
      <c r="F124" t="inlineStr">
        <is>
          <t>VÄSTRA GÖTALANDS LÄN</t>
        </is>
      </c>
      <c r="G124" t="inlineStr">
        <is>
          <t>LILLA EDET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35717-2025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45860</v>
      </c>
      <c r="E125" s="1" t="n">
        <v>46321</v>
      </c>
      <c r="F125" t="inlineStr">
        <is>
          <t>VÄSTRA GÖTALANDS LÄN</t>
        </is>
      </c>
      <c r="G125" t="inlineStr">
        <is>
          <t>LILLA EDET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45480</v>
      </c>
      <c r="E126" s="1" t="n">
        <v>46321</v>
      </c>
      <c r="F126" t="inlineStr">
        <is>
          <t>VÄSTRA GÖTALANDS LÄN</t>
        </is>
      </c>
      <c r="G126" t="inlineStr">
        <is>
          <t>LILLA EDET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11604-2024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45373</v>
      </c>
      <c r="E127" s="1" t="n">
        <v>46321</v>
      </c>
      <c r="F127" t="inlineStr">
        <is>
          <t>VÄSTRA GÖTALANDS LÄN</t>
        </is>
      </c>
      <c r="G127" t="inlineStr">
        <is>
          <t>LILLA EDET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17377-2026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46119</v>
      </c>
      <c r="E128" s="1" t="n">
        <v>46321</v>
      </c>
      <c r="F128" t="inlineStr">
        <is>
          <t>VÄSTRA GÖTALANDS LÄN</t>
        </is>
      </c>
      <c r="G128" t="inlineStr">
        <is>
          <t>LILLA EDET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44662</v>
      </c>
      <c r="E129" s="1" t="n">
        <v>46321</v>
      </c>
      <c r="F129" t="inlineStr">
        <is>
          <t>VÄSTRA GÖTALANDS LÄN</t>
        </is>
      </c>
      <c r="G129" t="inlineStr">
        <is>
          <t>LILLA EDET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18841-2026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46129</v>
      </c>
      <c r="E130" s="1" t="n">
        <v>46321</v>
      </c>
      <c r="F130" t="inlineStr">
        <is>
          <t>VÄSTRA GÖTALANDS LÄN</t>
        </is>
      </c>
      <c r="G130" t="inlineStr">
        <is>
          <t>LILLA EDET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45303</v>
      </c>
      <c r="E131" s="1" t="n">
        <v>46321</v>
      </c>
      <c r="F131" t="inlineStr">
        <is>
          <t>VÄSTRA GÖTALANDS LÄN</t>
        </is>
      </c>
      <c r="G131" t="inlineStr">
        <is>
          <t>LILLA EDET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45664</v>
      </c>
      <c r="E132" s="1" t="n">
        <v>46321</v>
      </c>
      <c r="F132" t="inlineStr">
        <is>
          <t>VÄSTRA GÖTALANDS LÄN</t>
        </is>
      </c>
      <c r="G132" t="inlineStr">
        <is>
          <t>LILLA EDET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45766</v>
      </c>
      <c r="E133" s="1" t="n">
        <v>46321</v>
      </c>
      <c r="F133" t="inlineStr">
        <is>
          <t>VÄSTRA GÖTALANDS LÄN</t>
        </is>
      </c>
      <c r="G133" t="inlineStr">
        <is>
          <t>LILLA EDET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35883-2026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46266</v>
      </c>
      <c r="E134" s="1" t="n">
        <v>46321</v>
      </c>
      <c r="F134" t="inlineStr">
        <is>
          <t>VÄSTRA GÖTALANDS LÄN</t>
        </is>
      </c>
      <c r="G134" t="inlineStr">
        <is>
          <t>LILLA EDET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45098</v>
      </c>
      <c r="E135" s="1" t="n">
        <v>46321</v>
      </c>
      <c r="F135" t="inlineStr">
        <is>
          <t>VÄSTRA GÖTALANDS LÄN</t>
        </is>
      </c>
      <c r="G135" t="inlineStr">
        <is>
          <t>LILLA EDET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46321</v>
      </c>
      <c r="F136" t="inlineStr">
        <is>
          <t>VÄSTRA GÖTALANDS LÄN</t>
        </is>
      </c>
      <c r="G136" t="inlineStr">
        <is>
          <t>LILLA EDET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45594</v>
      </c>
      <c r="E137" s="1" t="n">
        <v>46321</v>
      </c>
      <c r="F137" t="inlineStr">
        <is>
          <t>VÄSTRA GÖTALANDS LÄN</t>
        </is>
      </c>
      <c r="G137" t="inlineStr">
        <is>
          <t>LILLA EDET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44960</v>
      </c>
      <c r="E138" s="1" t="n">
        <v>46321</v>
      </c>
      <c r="F138" t="inlineStr">
        <is>
          <t>VÄSTRA GÖTALANDS LÄN</t>
        </is>
      </c>
      <c r="G138" t="inlineStr">
        <is>
          <t>LILLA EDET</t>
        </is>
      </c>
      <c r="H138" t="inlineStr">
        <is>
          <t>Kyrkan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44883</v>
      </c>
      <c r="E139" s="1" t="n">
        <v>46321</v>
      </c>
      <c r="F139" t="inlineStr">
        <is>
          <t>VÄSTRA GÖTALANDS LÄN</t>
        </is>
      </c>
      <c r="G139" t="inlineStr">
        <is>
          <t>LILLA EDET</t>
        </is>
      </c>
      <c r="I139" t="n">
        <v>22.6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61952-2024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45653</v>
      </c>
      <c r="E140" s="1" t="n">
        <v>46321</v>
      </c>
      <c r="F140" t="inlineStr">
        <is>
          <t>VÄSTRA GÖTALANDS LÄN</t>
        </is>
      </c>
      <c r="G140" t="inlineStr">
        <is>
          <t>LILLA EDET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46321</v>
      </c>
      <c r="F141" t="inlineStr">
        <is>
          <t>VÄSTRA GÖTALANDS LÄN</t>
        </is>
      </c>
      <c r="G141" t="inlineStr">
        <is>
          <t>LILLA EDET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43476-2026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46315</v>
      </c>
      <c r="E142" s="1" t="n">
        <v>46321</v>
      </c>
      <c r="F142" t="inlineStr">
        <is>
          <t>VÄSTRA GÖTALANDS LÄN</t>
        </is>
      </c>
      <c r="G142" t="inlineStr">
        <is>
          <t>LILLA EDET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46272</v>
      </c>
      <c r="E143" s="1" t="n">
        <v>46321</v>
      </c>
      <c r="F143" t="inlineStr">
        <is>
          <t>VÄSTRA GÖTALANDS LÄN</t>
        </is>
      </c>
      <c r="G143" t="inlineStr">
        <is>
          <t>LILLA EDET</t>
        </is>
      </c>
      <c r="H143" t="inlineStr">
        <is>
          <t>Kommuner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46273</v>
      </c>
      <c r="E144" s="1" t="n">
        <v>46321</v>
      </c>
      <c r="F144" t="inlineStr">
        <is>
          <t>VÄSTRA GÖTALANDS LÄN</t>
        </is>
      </c>
      <c r="G144" t="inlineStr">
        <is>
          <t>LILLA EDET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46272</v>
      </c>
      <c r="E145" s="1" t="n">
        <v>46321</v>
      </c>
      <c r="F145" t="inlineStr">
        <is>
          <t>VÄSTRA GÖTALANDS LÄN</t>
        </is>
      </c>
      <c r="G145" t="inlineStr">
        <is>
          <t>LILLA EDET</t>
        </is>
      </c>
      <c r="H145" t="inlineStr">
        <is>
          <t>Kommuner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44889</v>
      </c>
      <c r="E146" s="1" t="n">
        <v>46321</v>
      </c>
      <c r="F146" t="inlineStr">
        <is>
          <t>VÄSTRA GÖTALANDS LÄN</t>
        </is>
      </c>
      <c r="G146" t="inlineStr">
        <is>
          <t>LILLA EDET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45902</v>
      </c>
      <c r="E147" s="1" t="n">
        <v>46321</v>
      </c>
      <c r="F147" t="inlineStr">
        <is>
          <t>VÄSTRA GÖTALANDS LÄN</t>
        </is>
      </c>
      <c r="G147" t="inlineStr">
        <is>
          <t>LILLA EDET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46321</v>
      </c>
      <c r="F148" t="inlineStr">
        <is>
          <t>VÄSTRA GÖTALANDS LÄN</t>
        </is>
      </c>
      <c r="G148" t="inlineStr">
        <is>
          <t>LILLA EDET</t>
        </is>
      </c>
      <c r="I148" t="n">
        <v>11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46321</v>
      </c>
      <c r="F149" t="inlineStr">
        <is>
          <t>VÄSTRA GÖTALANDS LÄN</t>
        </is>
      </c>
      <c r="G149" t="inlineStr">
        <is>
          <t>LILLA EDET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46321</v>
      </c>
      <c r="F150" t="inlineStr">
        <is>
          <t>VÄSTRA GÖTALANDS LÄN</t>
        </is>
      </c>
      <c r="G150" t="inlineStr">
        <is>
          <t>LILLA EDET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46321</v>
      </c>
      <c r="F151" t="inlineStr">
        <is>
          <t>VÄSTRA GÖTALANDS LÄN</t>
        </is>
      </c>
      <c r="G151" t="inlineStr">
        <is>
          <t>LILLA EDET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45480</v>
      </c>
      <c r="E152" s="1" t="n">
        <v>46321</v>
      </c>
      <c r="F152" t="inlineStr">
        <is>
          <t>VÄSTRA GÖTALANDS LÄN</t>
        </is>
      </c>
      <c r="G152" t="inlineStr">
        <is>
          <t>LILLA EDET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45000</v>
      </c>
      <c r="E153" s="1" t="n">
        <v>46321</v>
      </c>
      <c r="F153" t="inlineStr">
        <is>
          <t>VÄSTRA GÖTALANDS LÄN</t>
        </is>
      </c>
      <c r="G153" t="inlineStr">
        <is>
          <t>LILLA EDET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45692</v>
      </c>
      <c r="E154" s="1" t="n">
        <v>46321</v>
      </c>
      <c r="F154" t="inlineStr">
        <is>
          <t>VÄSTRA GÖTALANDS LÄN</t>
        </is>
      </c>
      <c r="G154" t="inlineStr">
        <is>
          <t>LILLA EDET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46321</v>
      </c>
      <c r="F155" t="inlineStr">
        <is>
          <t>VÄSTRA GÖTALANDS LÄN</t>
        </is>
      </c>
      <c r="G155" t="inlineStr">
        <is>
          <t>LILLA EDET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45092</v>
      </c>
      <c r="E156" s="1" t="n">
        <v>46321</v>
      </c>
      <c r="F156" t="inlineStr">
        <is>
          <t>VÄSTRA GÖTALANDS LÄN</t>
        </is>
      </c>
      <c r="G156" t="inlineStr">
        <is>
          <t>LILLA EDET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17114-2023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45034</v>
      </c>
      <c r="E157" s="1" t="n">
        <v>46321</v>
      </c>
      <c r="F157" t="inlineStr">
        <is>
          <t>VÄSTRA GÖTALANDS LÄN</t>
        </is>
      </c>
      <c r="G157" t="inlineStr">
        <is>
          <t>LILLA EDET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45350</v>
      </c>
      <c r="E158" s="1" t="n">
        <v>46321</v>
      </c>
      <c r="F158" t="inlineStr">
        <is>
          <t>VÄSTRA GÖTALANDS LÄN</t>
        </is>
      </c>
      <c r="G158" t="inlineStr">
        <is>
          <t>LILLA EDET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45006</v>
      </c>
      <c r="E159" s="1" t="n">
        <v>46321</v>
      </c>
      <c r="F159" t="inlineStr">
        <is>
          <t>VÄSTRA GÖTALANDS LÄN</t>
        </is>
      </c>
      <c r="G159" t="inlineStr">
        <is>
          <t>LILLA EDET</t>
        </is>
      </c>
      <c r="H159" t="inlineStr">
        <is>
          <t>Kommuner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45587</v>
      </c>
      <c r="E160" s="1" t="n">
        <v>46321</v>
      </c>
      <c r="F160" t="inlineStr">
        <is>
          <t>VÄSTRA GÖTALANDS LÄN</t>
        </is>
      </c>
      <c r="G160" t="inlineStr">
        <is>
          <t>LILLA EDET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43770-2023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46321</v>
      </c>
      <c r="F161" t="inlineStr">
        <is>
          <t>VÄSTRA GÖTALANDS LÄN</t>
        </is>
      </c>
      <c r="G161" t="inlineStr">
        <is>
          <t>LILLA EDET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4881-2024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46321</v>
      </c>
      <c r="F162" t="inlineStr">
        <is>
          <t>VÄSTRA GÖTALANDS LÄN</t>
        </is>
      </c>
      <c r="G162" t="inlineStr">
        <is>
          <t>LILLA EDET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46321</v>
      </c>
      <c r="F163" t="inlineStr">
        <is>
          <t>VÄSTRA GÖTALANDS LÄN</t>
        </is>
      </c>
      <c r="G163" t="inlineStr">
        <is>
          <t>LILLA EDET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46321</v>
      </c>
      <c r="F164" t="inlineStr">
        <is>
          <t>VÄSTRA GÖTALANDS LÄN</t>
        </is>
      </c>
      <c r="G164" t="inlineStr">
        <is>
          <t>LILLA EDET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45398</v>
      </c>
      <c r="E165" s="1" t="n">
        <v>46321</v>
      </c>
      <c r="F165" t="inlineStr">
        <is>
          <t>VÄSTRA GÖTALANDS LÄN</t>
        </is>
      </c>
      <c r="G165" t="inlineStr">
        <is>
          <t>LILLA EDET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45442</v>
      </c>
      <c r="E166" s="1" t="n">
        <v>46321</v>
      </c>
      <c r="F166" t="inlineStr">
        <is>
          <t>VÄSTRA GÖTALANDS LÄN</t>
        </is>
      </c>
      <c r="G166" t="inlineStr">
        <is>
          <t>LILLA EDET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46321</v>
      </c>
      <c r="F167" t="inlineStr">
        <is>
          <t>VÄSTRA GÖTALANDS LÄN</t>
        </is>
      </c>
      <c r="G167" t="inlineStr">
        <is>
          <t>LILLA EDET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45134</v>
      </c>
      <c r="E168" s="1" t="n">
        <v>46321</v>
      </c>
      <c r="F168" t="inlineStr">
        <is>
          <t>VÄSTRA GÖTALANDS LÄN</t>
        </is>
      </c>
      <c r="G168" t="inlineStr">
        <is>
          <t>LILLA EDET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41411-2022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44826</v>
      </c>
      <c r="E169" s="1" t="n">
        <v>46321</v>
      </c>
      <c r="F169" t="inlineStr">
        <is>
          <t>VÄSTRA GÖTALANDS LÄN</t>
        </is>
      </c>
      <c r="G169" t="inlineStr">
        <is>
          <t>LILLA EDET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46321</v>
      </c>
      <c r="F170" t="inlineStr">
        <is>
          <t>VÄSTRA GÖTALANDS LÄN</t>
        </is>
      </c>
      <c r="G170" t="inlineStr">
        <is>
          <t>LILLA EDET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46321</v>
      </c>
      <c r="F171" t="inlineStr">
        <is>
          <t>VÄSTRA GÖTALANDS LÄN</t>
        </is>
      </c>
      <c r="G171" t="inlineStr">
        <is>
          <t>LILLA EDET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37508-2023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45158</v>
      </c>
      <c r="E172" s="1" t="n">
        <v>46321</v>
      </c>
      <c r="F172" t="inlineStr">
        <is>
          <t>VÄSTRA GÖTALANDS LÄN</t>
        </is>
      </c>
      <c r="G172" t="inlineStr">
        <is>
          <t>LILLA EDET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45158</v>
      </c>
      <c r="E173" s="1" t="n">
        <v>46321</v>
      </c>
      <c r="F173" t="inlineStr">
        <is>
          <t>VÄSTRA GÖTALANDS LÄN</t>
        </is>
      </c>
      <c r="G173" t="inlineStr">
        <is>
          <t>LILLA EDET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>
      <c r="A174" t="inlineStr">
        <is>
          <t>S 460-2023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44964</v>
      </c>
      <c r="E174" s="1" t="n">
        <v>46321</v>
      </c>
      <c r="F174" t="inlineStr">
        <is>
          <t>VÄSTRA GÖTALANDS LÄN</t>
        </is>
      </c>
      <c r="G174" t="inlineStr">
        <is>
          <t>LILLA EDET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2026-10-26T03:11:57Z</dcterms:created>
  <dcterms:modified xmlns:dcterms="http://purl.org/dc/terms/" xmlns:xsi="http://www.w3.org/2001/XMLSchema-instance" xsi:type="dcterms:W3CDTF">2026-10-26T03:11:58Z</dcterms:modified>
</cp:coreProperties>
</file>