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45824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45824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45824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45824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45824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45824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45824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45824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45824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5611-2024</t>
        </is>
      </c>
      <c r="B11" s="1" t="n">
        <v>45334</v>
      </c>
      <c r="C11" s="1" t="n">
        <v>45824</v>
      </c>
      <c r="D11" t="inlineStr">
        <is>
          <t>VÄSTRA GÖTALANDS LÄN</t>
        </is>
      </c>
      <c r="E11" t="inlineStr">
        <is>
          <t>LILLA EDET</t>
        </is>
      </c>
      <c r="G11" t="n">
        <v>11.8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Västlig hakmossa
Revlummer</t>
        </is>
      </c>
      <c r="S11">
        <f>HYPERLINK("https://klasma.github.io/Logging_1462/artfynd/A 5611-2024 artfynd.xlsx", "A 5611-2024")</f>
        <v/>
      </c>
      <c r="T11">
        <f>HYPERLINK("https://klasma.github.io/Logging_1462/kartor/A 5611-2024 karta.png", "A 5611-2024")</f>
        <v/>
      </c>
      <c r="V11">
        <f>HYPERLINK("https://klasma.github.io/Logging_1462/klagomål/A 5611-2024 FSC-klagomål.docx", "A 5611-2024")</f>
        <v/>
      </c>
      <c r="W11">
        <f>HYPERLINK("https://klasma.github.io/Logging_1462/klagomålsmail/A 5611-2024 FSC-klagomål mail.docx", "A 5611-2024")</f>
        <v/>
      </c>
      <c r="X11">
        <f>HYPERLINK("https://klasma.github.io/Logging_1462/tillsyn/A 5611-2024 tillsynsbegäran.docx", "A 5611-2024")</f>
        <v/>
      </c>
      <c r="Y11">
        <f>HYPERLINK("https://klasma.github.io/Logging_1462/tillsynsmail/A 5611-2024 tillsynsbegäran mail.docx", "A 5611-2024")</f>
        <v/>
      </c>
      <c r="Z11">
        <f>HYPERLINK("https://klasma.github.io/Logging_1462/fåglar/A 5611-2024 prioriterade fågelarter.docx", "A 5611-2024")</f>
        <v/>
      </c>
    </row>
    <row r="12" ht="15" customHeight="1">
      <c r="A12" t="inlineStr">
        <is>
          <t>A 11312-2020</t>
        </is>
      </c>
      <c r="B12" s="1" t="n">
        <v>43892</v>
      </c>
      <c r="C12" s="1" t="n">
        <v>45824</v>
      </c>
      <c r="D12" t="inlineStr">
        <is>
          <t>VÄSTRA GÖTALANDS LÄN</t>
        </is>
      </c>
      <c r="E12" t="inlineStr">
        <is>
          <t>LILLA EDET</t>
        </is>
      </c>
      <c r="G12" t="n">
        <v>11.3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Smal svampklubba</t>
        </is>
      </c>
      <c r="S12">
        <f>HYPERLINK("https://klasma.github.io/Logging_1462/artfynd/A 11312-2020 artfynd.xlsx", "A 11312-2020")</f>
        <v/>
      </c>
      <c r="T12">
        <f>HYPERLINK("https://klasma.github.io/Logging_1462/kartor/A 11312-2020 karta.png", "A 11312-2020")</f>
        <v/>
      </c>
      <c r="V12">
        <f>HYPERLINK("https://klasma.github.io/Logging_1462/klagomål/A 11312-2020 FSC-klagomål.docx", "A 11312-2020")</f>
        <v/>
      </c>
      <c r="W12">
        <f>HYPERLINK("https://klasma.github.io/Logging_1462/klagomålsmail/A 11312-2020 FSC-klagomål mail.docx", "A 11312-2020")</f>
        <v/>
      </c>
      <c r="X12">
        <f>HYPERLINK("https://klasma.github.io/Logging_1462/tillsyn/A 11312-2020 tillsynsbegäran.docx", "A 11312-2020")</f>
        <v/>
      </c>
      <c r="Y12">
        <f>HYPERLINK("https://klasma.github.io/Logging_1462/tillsynsmail/A 11312-2020 tillsynsbegäran mail.docx", "A 11312-2020")</f>
        <v/>
      </c>
    </row>
    <row r="13" ht="15" customHeight="1">
      <c r="A13" t="inlineStr">
        <is>
          <t>A 12972-2020</t>
        </is>
      </c>
      <c r="B13" s="1" t="n">
        <v>43900</v>
      </c>
      <c r="C13" s="1" t="n">
        <v>45824</v>
      </c>
      <c r="D13" t="inlineStr">
        <is>
          <t>VÄSTRA GÖTALANDS LÄN</t>
        </is>
      </c>
      <c r="E13" t="inlineStr">
        <is>
          <t>LILLA EDET</t>
        </is>
      </c>
      <c r="G13" t="n">
        <v>31.3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Platt fjädermossa</t>
        </is>
      </c>
      <c r="S13">
        <f>HYPERLINK("https://klasma.github.io/Logging_1462/artfynd/A 12972-2020 artfynd.xlsx", "A 12972-2020")</f>
        <v/>
      </c>
      <c r="T13">
        <f>HYPERLINK("https://klasma.github.io/Logging_1462/kartor/A 12972-2020 karta.png", "A 12972-2020")</f>
        <v/>
      </c>
      <c r="V13">
        <f>HYPERLINK("https://klasma.github.io/Logging_1462/klagomål/A 12972-2020 FSC-klagomål.docx", "A 12972-2020")</f>
        <v/>
      </c>
      <c r="W13">
        <f>HYPERLINK("https://klasma.github.io/Logging_1462/klagomålsmail/A 12972-2020 FSC-klagomål mail.docx", "A 12972-2020")</f>
        <v/>
      </c>
      <c r="X13">
        <f>HYPERLINK("https://klasma.github.io/Logging_1462/tillsyn/A 12972-2020 tillsynsbegäran.docx", "A 12972-2020")</f>
        <v/>
      </c>
      <c r="Y13">
        <f>HYPERLINK("https://klasma.github.io/Logging_1462/tillsynsmail/A 12972-2020 tillsynsbegäran mail.docx", "A 12972-2020")</f>
        <v/>
      </c>
    </row>
    <row r="14" ht="15" customHeight="1">
      <c r="A14" t="inlineStr">
        <is>
          <t>A 9099-2022</t>
        </is>
      </c>
      <c r="B14" s="1" t="n">
        <v>44615</v>
      </c>
      <c r="C14" s="1" t="n">
        <v>45824</v>
      </c>
      <c r="D14" t="inlineStr">
        <is>
          <t>VÄSTRA GÖTALANDS LÄN</t>
        </is>
      </c>
      <c r="E14" t="inlineStr">
        <is>
          <t>LILLA EDET</t>
        </is>
      </c>
      <c r="G14" t="n">
        <v>3.8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Liten havstulpanlav
Havstulpanlav</t>
        </is>
      </c>
      <c r="S14">
        <f>HYPERLINK("https://klasma.github.io/Logging_1462/artfynd/A 9099-2022 artfynd.xlsx", "A 9099-2022")</f>
        <v/>
      </c>
      <c r="T14">
        <f>HYPERLINK("https://klasma.github.io/Logging_1462/kartor/A 9099-2022 karta.png", "A 9099-2022")</f>
        <v/>
      </c>
      <c r="V14">
        <f>HYPERLINK("https://klasma.github.io/Logging_1462/klagomål/A 9099-2022 FSC-klagomål.docx", "A 9099-2022")</f>
        <v/>
      </c>
      <c r="W14">
        <f>HYPERLINK("https://klasma.github.io/Logging_1462/klagomålsmail/A 9099-2022 FSC-klagomål mail.docx", "A 9099-2022")</f>
        <v/>
      </c>
      <c r="X14">
        <f>HYPERLINK("https://klasma.github.io/Logging_1462/tillsyn/A 9099-2022 tillsynsbegäran.docx", "A 9099-2022")</f>
        <v/>
      </c>
      <c r="Y14">
        <f>HYPERLINK("https://klasma.github.io/Logging_1462/tillsynsmail/A 9099-2022 tillsynsbegäran mail.docx", "A 9099-2022")</f>
        <v/>
      </c>
    </row>
    <row r="15" ht="15" customHeight="1">
      <c r="A15" t="inlineStr">
        <is>
          <t>A 12617-2023</t>
        </is>
      </c>
      <c r="B15" s="1" t="n">
        <v>45000</v>
      </c>
      <c r="C15" s="1" t="n">
        <v>45824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12617-2023 artfynd.xlsx", "A 12617-2023")</f>
        <v/>
      </c>
      <c r="T15">
        <f>HYPERLINK("https://klasma.github.io/Logging_1462/kartor/A 12617-2023 karta.png", "A 12617-2023")</f>
        <v/>
      </c>
      <c r="V15">
        <f>HYPERLINK("https://klasma.github.io/Logging_1462/klagomål/A 12617-2023 FSC-klagomål.docx", "A 12617-2023")</f>
        <v/>
      </c>
      <c r="W15">
        <f>HYPERLINK("https://klasma.github.io/Logging_1462/klagomålsmail/A 12617-2023 FSC-klagomål mail.docx", "A 12617-2023")</f>
        <v/>
      </c>
      <c r="X15">
        <f>HYPERLINK("https://klasma.github.io/Logging_1462/tillsyn/A 12617-2023 tillsynsbegäran.docx", "A 12617-2023")</f>
        <v/>
      </c>
      <c r="Y15">
        <f>HYPERLINK("https://klasma.github.io/Logging_1462/tillsynsmail/A 12617-2023 tillsynsbegäran mail.docx", "A 12617-2023")</f>
        <v/>
      </c>
    </row>
    <row r="16" ht="15" customHeight="1">
      <c r="A16" t="inlineStr">
        <is>
          <t>A 434-2024</t>
        </is>
      </c>
      <c r="B16" s="1" t="n">
        <v>45296</v>
      </c>
      <c r="C16" s="1" t="n">
        <v>45824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8448-2024</t>
        </is>
      </c>
      <c r="B17" s="1" t="n">
        <v>45354</v>
      </c>
      <c r="C17" s="1" t="n">
        <v>45824</v>
      </c>
      <c r="D17" t="inlineStr">
        <is>
          <t>VÄSTRA GÖTALANDS LÄN</t>
        </is>
      </c>
      <c r="E17" t="inlineStr">
        <is>
          <t>LILLA EDET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Loppstarr
Dvärghäxört</t>
        </is>
      </c>
      <c r="S17">
        <f>HYPERLINK("https://klasma.github.io/Logging_1462/artfynd/A 8448-2024 artfynd.xlsx", "A 8448-2024")</f>
        <v/>
      </c>
      <c r="T17">
        <f>HYPERLINK("https://klasma.github.io/Logging_1462/kartor/A 8448-2024 karta.png", "A 8448-2024")</f>
        <v/>
      </c>
      <c r="V17">
        <f>HYPERLINK("https://klasma.github.io/Logging_1462/klagomål/A 8448-2024 FSC-klagomål.docx", "A 8448-2024")</f>
        <v/>
      </c>
      <c r="W17">
        <f>HYPERLINK("https://klasma.github.io/Logging_1462/klagomålsmail/A 8448-2024 FSC-klagomål mail.docx", "A 8448-2024")</f>
        <v/>
      </c>
      <c r="X17">
        <f>HYPERLINK("https://klasma.github.io/Logging_1462/tillsyn/A 8448-2024 tillsynsbegäran.docx", "A 8448-2024")</f>
        <v/>
      </c>
      <c r="Y17">
        <f>HYPERLINK("https://klasma.github.io/Logging_1462/tillsynsmail/A 8448-2024 tillsynsbegäran mail.docx", "A 8448-2024")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45824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45824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45824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45824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15351-2024</t>
        </is>
      </c>
      <c r="B22" s="1" t="n">
        <v>45400</v>
      </c>
      <c r="C22" s="1" t="n">
        <v>45824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21452-2024</t>
        </is>
      </c>
      <c r="B23" s="1" t="n">
        <v>45441</v>
      </c>
      <c r="C23" s="1" t="n">
        <v>45824</v>
      </c>
      <c r="D23" t="inlineStr">
        <is>
          <t>VÄSTRA GÖTALANDS LÄN</t>
        </is>
      </c>
      <c r="E23" t="inlineStr">
        <is>
          <t>LILLA EDET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HYPERLINK("https://klasma.github.io/Logging_1462/artfynd/A 21452-2024 artfynd.xlsx", "A 21452-2024")</f>
        <v/>
      </c>
      <c r="T23">
        <f>HYPERLINK("https://klasma.github.io/Logging_1462/kartor/A 21452-2024 karta.png", "A 21452-2024")</f>
        <v/>
      </c>
      <c r="V23">
        <f>HYPERLINK("https://klasma.github.io/Logging_1462/klagomål/A 21452-2024 FSC-klagomål.docx", "A 21452-2024")</f>
        <v/>
      </c>
      <c r="W23">
        <f>HYPERLINK("https://klasma.github.io/Logging_1462/klagomålsmail/A 21452-2024 FSC-klagomål mail.docx", "A 21452-2024")</f>
        <v/>
      </c>
      <c r="X23">
        <f>HYPERLINK("https://klasma.github.io/Logging_1462/tillsyn/A 21452-2024 tillsynsbegäran.docx", "A 21452-2024")</f>
        <v/>
      </c>
      <c r="Y23">
        <f>HYPERLINK("https://klasma.github.io/Logging_1462/tillsynsmail/A 21452-2024 tillsynsbegäran mail.docx", "A 21452-2024")</f>
        <v/>
      </c>
    </row>
    <row r="24" ht="15" customHeight="1">
      <c r="A24" t="inlineStr">
        <is>
          <t>A 54358-2024</t>
        </is>
      </c>
      <c r="B24" s="1" t="n">
        <v>45617</v>
      </c>
      <c r="C24" s="1" t="n">
        <v>45824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19160-2019</t>
        </is>
      </c>
      <c r="B25" s="1" t="n">
        <v>43564</v>
      </c>
      <c r="C25" s="1" t="n">
        <v>45824</v>
      </c>
      <c r="D25" t="inlineStr">
        <is>
          <t>VÄSTRA GÖTALANDS LÄN</t>
        </is>
      </c>
      <c r="E25" t="inlineStr">
        <is>
          <t>LILLA EDET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19186-2019</t>
        </is>
      </c>
      <c r="B26" s="1" t="n">
        <v>43564</v>
      </c>
      <c r="C26" s="1" t="n">
        <v>45824</v>
      </c>
      <c r="D26" t="inlineStr">
        <is>
          <t>VÄSTRA GÖTALANDS LÄN</t>
        </is>
      </c>
      <c r="E26" t="inlineStr">
        <is>
          <t>LILLA EDET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20436-2019</t>
        </is>
      </c>
      <c r="B27" s="1" t="n">
        <v>43571</v>
      </c>
      <c r="C27" s="1" t="n">
        <v>45824</v>
      </c>
      <c r="D27" t="inlineStr">
        <is>
          <t>VÄSTRA GÖTALANDS LÄN</t>
        </is>
      </c>
      <c r="E27" t="inlineStr">
        <is>
          <t>LILLA EDET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21178-2019</t>
        </is>
      </c>
      <c r="B28" s="1" t="n">
        <v>43579</v>
      </c>
      <c r="C28" s="1" t="n">
        <v>45824</v>
      </c>
      <c r="D28" t="inlineStr">
        <is>
          <t>VÄSTRA GÖTALANDS LÄN</t>
        </is>
      </c>
      <c r="E28" t="inlineStr">
        <is>
          <t>LILLA EDET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22321-2019</t>
        </is>
      </c>
      <c r="B29" s="1" t="n">
        <v>43586</v>
      </c>
      <c r="C29" s="1" t="n">
        <v>45824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26881-2019</t>
        </is>
      </c>
      <c r="B30" s="1" t="n">
        <v>43613</v>
      </c>
      <c r="C30" s="1" t="n">
        <v>45824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30191-2019</t>
        </is>
      </c>
      <c r="B31" s="1" t="n">
        <v>43634</v>
      </c>
      <c r="C31" s="1" t="n">
        <v>45824</v>
      </c>
      <c r="D31" t="inlineStr">
        <is>
          <t>VÄSTRA GÖTALANDS LÄN</t>
        </is>
      </c>
      <c r="E31" t="inlineStr">
        <is>
          <t>LILLA EDET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32929-2019</t>
        </is>
      </c>
      <c r="B32" s="1" t="n">
        <v>43648</v>
      </c>
      <c r="C32" s="1" t="n">
        <v>45824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34254-2019</t>
        </is>
      </c>
      <c r="B33" s="1" t="n">
        <v>43655</v>
      </c>
      <c r="C33" s="1" t="n">
        <v>45824</v>
      </c>
      <c r="D33" t="inlineStr">
        <is>
          <t>VÄSTRA GÖTALANDS LÄN</t>
        </is>
      </c>
      <c r="E33" t="inlineStr">
        <is>
          <t>LILLA EDET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39542-2019</t>
        </is>
      </c>
      <c r="B34" s="1" t="n">
        <v>43691</v>
      </c>
      <c r="C34" s="1" t="n">
        <v>45824</v>
      </c>
      <c r="D34" t="inlineStr">
        <is>
          <t>VÄSTRA GÖTALANDS LÄN</t>
        </is>
      </c>
      <c r="E34" t="inlineStr">
        <is>
          <t>LILLA EDET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57036-2019</t>
        </is>
      </c>
      <c r="B35" s="1" t="n">
        <v>43766</v>
      </c>
      <c r="C35" s="1" t="n">
        <v>45824</v>
      </c>
      <c r="D35" t="inlineStr">
        <is>
          <t>VÄSTRA GÖTALANDS LÄN</t>
        </is>
      </c>
      <c r="E35" t="inlineStr">
        <is>
          <t>LILLA EDET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57033-2019</t>
        </is>
      </c>
      <c r="B36" s="1" t="n">
        <v>43766</v>
      </c>
      <c r="C36" s="1" t="n">
        <v>45824</v>
      </c>
      <c r="D36" t="inlineStr">
        <is>
          <t>VÄSTRA GÖTALANDS LÄN</t>
        </is>
      </c>
      <c r="E36" t="inlineStr">
        <is>
          <t>LILLA EDET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59507-2019</t>
        </is>
      </c>
      <c r="B37" s="1" t="n">
        <v>43773</v>
      </c>
      <c r="C37" s="1" t="n">
        <v>45824</v>
      </c>
      <c r="D37" t="inlineStr">
        <is>
          <t>VÄSTRA GÖTALANDS LÄN</t>
        </is>
      </c>
      <c r="E37" t="inlineStr">
        <is>
          <t>LILLA EDET</t>
        </is>
      </c>
      <c r="F37" t="inlineStr">
        <is>
          <t>Kyrkan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59975-2019</t>
        </is>
      </c>
      <c r="B38" s="1" t="n">
        <v>43777</v>
      </c>
      <c r="C38" s="1" t="n">
        <v>45824</v>
      </c>
      <c r="D38" t="inlineStr">
        <is>
          <t>VÄSTRA GÖTALANDS LÄN</t>
        </is>
      </c>
      <c r="E38" t="inlineStr">
        <is>
          <t>LILLA EDET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61643-2019</t>
        </is>
      </c>
      <c r="B39" s="1" t="n">
        <v>43784</v>
      </c>
      <c r="C39" s="1" t="n">
        <v>45824</v>
      </c>
      <c r="D39" t="inlineStr">
        <is>
          <t>VÄSTRA GÖTALANDS LÄN</t>
        </is>
      </c>
      <c r="E39" t="inlineStr">
        <is>
          <t>LILLA EDET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65696-2019</t>
        </is>
      </c>
      <c r="B40" s="1" t="n">
        <v>43804</v>
      </c>
      <c r="C40" s="1" t="n">
        <v>45824</v>
      </c>
      <c r="D40" t="inlineStr">
        <is>
          <t>VÄSTRA GÖTALANDS LÄN</t>
        </is>
      </c>
      <c r="E40" t="inlineStr">
        <is>
          <t>LILLA EDET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66741-2019</t>
        </is>
      </c>
      <c r="B41" s="1" t="n">
        <v>43810</v>
      </c>
      <c r="C41" s="1" t="n">
        <v>45824</v>
      </c>
      <c r="D41" t="inlineStr">
        <is>
          <t>VÄSTRA GÖTALANDS LÄN</t>
        </is>
      </c>
      <c r="E41" t="inlineStr">
        <is>
          <t>LILLA EDET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68256-2019</t>
        </is>
      </c>
      <c r="B42" s="1" t="n">
        <v>43817</v>
      </c>
      <c r="C42" s="1" t="n">
        <v>45824</v>
      </c>
      <c r="D42" t="inlineStr">
        <is>
          <t>VÄSTRA GÖTALANDS LÄN</t>
        </is>
      </c>
      <c r="E42" t="inlineStr">
        <is>
          <t>LILLA EDET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68978-2019</t>
        </is>
      </c>
      <c r="B43" s="1" t="n">
        <v>43824</v>
      </c>
      <c r="C43" s="1" t="n">
        <v>45824</v>
      </c>
      <c r="D43" t="inlineStr">
        <is>
          <t>VÄSTRA GÖTALANDS LÄN</t>
        </is>
      </c>
      <c r="E43" t="inlineStr">
        <is>
          <t>LILLA EDET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69030-2019</t>
        </is>
      </c>
      <c r="B44" s="1" t="n">
        <v>43826</v>
      </c>
      <c r="C44" s="1" t="n">
        <v>45824</v>
      </c>
      <c r="D44" t="inlineStr">
        <is>
          <t>VÄSTRA GÖTALANDS LÄN</t>
        </is>
      </c>
      <c r="E44" t="inlineStr">
        <is>
          <t>LILLA EDET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2328-2020</t>
        </is>
      </c>
      <c r="B45" s="1" t="n">
        <v>43840</v>
      </c>
      <c r="C45" s="1" t="n">
        <v>45824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6398-2020</t>
        </is>
      </c>
      <c r="B46" s="1" t="n">
        <v>43865</v>
      </c>
      <c r="C46" s="1" t="n">
        <v>45824</v>
      </c>
      <c r="D46" t="inlineStr">
        <is>
          <t>VÄSTRA GÖTALANDS LÄN</t>
        </is>
      </c>
      <c r="E46" t="inlineStr">
        <is>
          <t>LILLA EDET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6415-2020</t>
        </is>
      </c>
      <c r="B47" s="1" t="n">
        <v>43865</v>
      </c>
      <c r="C47" s="1" t="n">
        <v>45824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6475-2020</t>
        </is>
      </c>
      <c r="B48" s="1" t="n">
        <v>43866</v>
      </c>
      <c r="C48" s="1" t="n">
        <v>45824</v>
      </c>
      <c r="D48" t="inlineStr">
        <is>
          <t>VÄSTRA GÖTALANDS LÄN</t>
        </is>
      </c>
      <c r="E48" t="inlineStr">
        <is>
          <t>LILLA EDET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8773-2020</t>
        </is>
      </c>
      <c r="B49" s="1" t="n">
        <v>43878</v>
      </c>
      <c r="C49" s="1" t="n">
        <v>45824</v>
      </c>
      <c r="D49" t="inlineStr">
        <is>
          <t>VÄSTRA GÖTALANDS LÄN</t>
        </is>
      </c>
      <c r="E49" t="inlineStr">
        <is>
          <t>LILLA EDET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10609-2020</t>
        </is>
      </c>
      <c r="B50" s="1" t="n">
        <v>43887</v>
      </c>
      <c r="C50" s="1" t="n">
        <v>45824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11315-2020</t>
        </is>
      </c>
      <c r="B51" s="1" t="n">
        <v>43892</v>
      </c>
      <c r="C51" s="1" t="n">
        <v>45824</v>
      </c>
      <c r="D51" t="inlineStr">
        <is>
          <t>VÄSTRA GÖTALANDS LÄN</t>
        </is>
      </c>
      <c r="E51" t="inlineStr">
        <is>
          <t>LILLA EDET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12932-2020</t>
        </is>
      </c>
      <c r="B52" s="1" t="n">
        <v>43900</v>
      </c>
      <c r="C52" s="1" t="n">
        <v>45824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14772-2020</t>
        </is>
      </c>
      <c r="B53" s="1" t="n">
        <v>43909</v>
      </c>
      <c r="C53" s="1" t="n">
        <v>45824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16914-2020</t>
        </is>
      </c>
      <c r="B54" s="1" t="n">
        <v>43913</v>
      </c>
      <c r="C54" s="1" t="n">
        <v>45824</v>
      </c>
      <c r="D54" t="inlineStr">
        <is>
          <t>VÄSTRA GÖTALANDS LÄN</t>
        </is>
      </c>
      <c r="E54" t="inlineStr">
        <is>
          <t>LILLA EDET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17411-2020</t>
        </is>
      </c>
      <c r="B55" s="1" t="n">
        <v>43917</v>
      </c>
      <c r="C55" s="1" t="n">
        <v>45824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16426-2020</t>
        </is>
      </c>
      <c r="B56" s="1" t="n">
        <v>43919</v>
      </c>
      <c r="C56" s="1" t="n">
        <v>45824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17657-2020</t>
        </is>
      </c>
      <c r="B57" s="1" t="n">
        <v>43923</v>
      </c>
      <c r="C57" s="1" t="n">
        <v>45824</v>
      </c>
      <c r="D57" t="inlineStr">
        <is>
          <t>VÄSTRA GÖTALANDS LÄN</t>
        </is>
      </c>
      <c r="E57" t="inlineStr">
        <is>
          <t>LILLA EDET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17659-2020</t>
        </is>
      </c>
      <c r="B58" s="1" t="n">
        <v>43923</v>
      </c>
      <c r="C58" s="1" t="n">
        <v>45824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19718-2020</t>
        </is>
      </c>
      <c r="B59" s="1" t="n">
        <v>43941</v>
      </c>
      <c r="C59" s="1" t="n">
        <v>45824</v>
      </c>
      <c r="D59" t="inlineStr">
        <is>
          <t>VÄSTRA GÖTALANDS LÄN</t>
        </is>
      </c>
      <c r="E59" t="inlineStr">
        <is>
          <t>LILLA EDET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20994-2020</t>
        </is>
      </c>
      <c r="B60" s="1" t="n">
        <v>43950</v>
      </c>
      <c r="C60" s="1" t="n">
        <v>45824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20992-2020</t>
        </is>
      </c>
      <c r="B61" s="1" t="n">
        <v>43950</v>
      </c>
      <c r="C61" s="1" t="n">
        <v>45824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21563-2020</t>
        </is>
      </c>
      <c r="B62" s="1" t="n">
        <v>43956</v>
      </c>
      <c r="C62" s="1" t="n">
        <v>45824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21606-2020</t>
        </is>
      </c>
      <c r="B63" s="1" t="n">
        <v>43957</v>
      </c>
      <c r="C63" s="1" t="n">
        <v>45824</v>
      </c>
      <c r="D63" t="inlineStr">
        <is>
          <t>VÄSTRA GÖTALANDS LÄN</t>
        </is>
      </c>
      <c r="E63" t="inlineStr">
        <is>
          <t>LILLA EDET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22519-2020</t>
        </is>
      </c>
      <c r="B64" s="1" t="n">
        <v>43959</v>
      </c>
      <c r="C64" s="1" t="n">
        <v>45824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24357-2020</t>
        </is>
      </c>
      <c r="B65" s="1" t="n">
        <v>43976</v>
      </c>
      <c r="C65" s="1" t="n">
        <v>45824</v>
      </c>
      <c r="D65" t="inlineStr">
        <is>
          <t>VÄSTRA GÖTALANDS LÄN</t>
        </is>
      </c>
      <c r="E65" t="inlineStr">
        <is>
          <t>LILLA EDET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31476-2020</t>
        </is>
      </c>
      <c r="B66" s="1" t="n">
        <v>44013</v>
      </c>
      <c r="C66" s="1" t="n">
        <v>45824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35756-2020</t>
        </is>
      </c>
      <c r="B67" s="1" t="n">
        <v>44046</v>
      </c>
      <c r="C67" s="1" t="n">
        <v>45824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36395-2020</t>
        </is>
      </c>
      <c r="B68" s="1" t="n">
        <v>44049</v>
      </c>
      <c r="C68" s="1" t="n">
        <v>45824</v>
      </c>
      <c r="D68" t="inlineStr">
        <is>
          <t>VÄSTRA GÖTALANDS LÄN</t>
        </is>
      </c>
      <c r="E68" t="inlineStr">
        <is>
          <t>LILLA EDET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36583-2020</t>
        </is>
      </c>
      <c r="B69" s="1" t="n">
        <v>44050</v>
      </c>
      <c r="C69" s="1" t="n">
        <v>45824</v>
      </c>
      <c r="D69" t="inlineStr">
        <is>
          <t>VÄSTRA GÖTALANDS LÄN</t>
        </is>
      </c>
      <c r="E69" t="inlineStr">
        <is>
          <t>LILLA EDET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51135-2020</t>
        </is>
      </c>
      <c r="B70" s="1" t="n">
        <v>44112</v>
      </c>
      <c r="C70" s="1" t="n">
        <v>45824</v>
      </c>
      <c r="D70" t="inlineStr">
        <is>
          <t>VÄSTRA GÖTALANDS LÄN</t>
        </is>
      </c>
      <c r="E70" t="inlineStr">
        <is>
          <t>LILLA EDET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51139-2020</t>
        </is>
      </c>
      <c r="B71" s="1" t="n">
        <v>44112</v>
      </c>
      <c r="C71" s="1" t="n">
        <v>45824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55277-2020</t>
        </is>
      </c>
      <c r="B72" s="1" t="n">
        <v>44130</v>
      </c>
      <c r="C72" s="1" t="n">
        <v>45824</v>
      </c>
      <c r="D72" t="inlineStr">
        <is>
          <t>VÄSTRA GÖTALANDS LÄN</t>
        </is>
      </c>
      <c r="E72" t="inlineStr">
        <is>
          <t>LILLA EDET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57131-2020</t>
        </is>
      </c>
      <c r="B73" s="1" t="n">
        <v>44139</v>
      </c>
      <c r="C73" s="1" t="n">
        <v>45824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58141-2020</t>
        </is>
      </c>
      <c r="B74" s="1" t="n">
        <v>44144</v>
      </c>
      <c r="C74" s="1" t="n">
        <v>45824</v>
      </c>
      <c r="D74" t="inlineStr">
        <is>
          <t>VÄSTRA GÖTALANDS LÄN</t>
        </is>
      </c>
      <c r="E74" t="inlineStr">
        <is>
          <t>LILLA EDET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59232-2020</t>
        </is>
      </c>
      <c r="B75" s="1" t="n">
        <v>44147</v>
      </c>
      <c r="C75" s="1" t="n">
        <v>45824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60705-2020</t>
        </is>
      </c>
      <c r="B76" s="1" t="n">
        <v>44153</v>
      </c>
      <c r="C76" s="1" t="n">
        <v>45824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62919-2020</t>
        </is>
      </c>
      <c r="B77" s="1" t="n">
        <v>44162</v>
      </c>
      <c r="C77" s="1" t="n">
        <v>45824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65883-2020</t>
        </is>
      </c>
      <c r="B78" s="1" t="n">
        <v>44174</v>
      </c>
      <c r="C78" s="1" t="n">
        <v>45824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69604-2020</t>
        </is>
      </c>
      <c r="B79" s="1" t="n">
        <v>44195</v>
      </c>
      <c r="C79" s="1" t="n">
        <v>45824</v>
      </c>
      <c r="D79" t="inlineStr">
        <is>
          <t>VÄSTRA GÖTALANDS LÄN</t>
        </is>
      </c>
      <c r="E79" t="inlineStr">
        <is>
          <t>LILLA EDET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69576-2020</t>
        </is>
      </c>
      <c r="B80" s="1" t="n">
        <v>44195</v>
      </c>
      <c r="C80" s="1" t="n">
        <v>45824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1262-2021</t>
        </is>
      </c>
      <c r="B81" s="1" t="n">
        <v>44208</v>
      </c>
      <c r="C81" s="1" t="n">
        <v>45824</v>
      </c>
      <c r="D81" t="inlineStr">
        <is>
          <t>VÄSTRA GÖTALANDS LÄN</t>
        </is>
      </c>
      <c r="E81" t="inlineStr">
        <is>
          <t>LILLA EDET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1574-2021</t>
        </is>
      </c>
      <c r="B82" s="1" t="n">
        <v>44209</v>
      </c>
      <c r="C82" s="1" t="n">
        <v>45824</v>
      </c>
      <c r="D82" t="inlineStr">
        <is>
          <t>VÄSTRA GÖTALANDS LÄN</t>
        </is>
      </c>
      <c r="E82" t="inlineStr">
        <is>
          <t>LILLA EDET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6193-2021</t>
        </is>
      </c>
      <c r="B83" s="1" t="n">
        <v>44234</v>
      </c>
      <c r="C83" s="1" t="n">
        <v>45824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7832-2021</t>
        </is>
      </c>
      <c r="B84" s="1" t="n">
        <v>44242</v>
      </c>
      <c r="C84" s="1" t="n">
        <v>45824</v>
      </c>
      <c r="D84" t="inlineStr">
        <is>
          <t>VÄSTRA GÖTALANDS LÄN</t>
        </is>
      </c>
      <c r="E84" t="inlineStr">
        <is>
          <t>LILLA EDET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9541-2021</t>
        </is>
      </c>
      <c r="B85" s="1" t="n">
        <v>44251</v>
      </c>
      <c r="C85" s="1" t="n">
        <v>45824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9801-2021</t>
        </is>
      </c>
      <c r="B86" s="1" t="n">
        <v>44252</v>
      </c>
      <c r="C86" s="1" t="n">
        <v>45824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10023-2021</t>
        </is>
      </c>
      <c r="B87" s="1" t="n">
        <v>44256</v>
      </c>
      <c r="C87" s="1" t="n">
        <v>45824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14716-2021</t>
        </is>
      </c>
      <c r="B88" s="1" t="n">
        <v>44280</v>
      </c>
      <c r="C88" s="1" t="n">
        <v>45824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17180-2021</t>
        </is>
      </c>
      <c r="B89" s="1" t="n">
        <v>44298</v>
      </c>
      <c r="C89" s="1" t="n">
        <v>45824</v>
      </c>
      <c r="D89" t="inlineStr">
        <is>
          <t>VÄSTRA GÖTALANDS LÄN</t>
        </is>
      </c>
      <c r="E89" t="inlineStr">
        <is>
          <t>LILLA EDET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45824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19235-2021</t>
        </is>
      </c>
      <c r="B91" s="1" t="n">
        <v>44309</v>
      </c>
      <c r="C91" s="1" t="n">
        <v>45824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21021-2021</t>
        </is>
      </c>
      <c r="B92" s="1" t="n">
        <v>44319</v>
      </c>
      <c r="C92" s="1" t="n">
        <v>45824</v>
      </c>
      <c r="D92" t="inlineStr">
        <is>
          <t>VÄSTRA GÖTALANDS LÄN</t>
        </is>
      </c>
      <c r="E92" t="inlineStr">
        <is>
          <t>LILLA EDET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24291-2021</t>
        </is>
      </c>
      <c r="B93" s="1" t="n">
        <v>44337</v>
      </c>
      <c r="C93" s="1" t="n">
        <v>45824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25631-2021</t>
        </is>
      </c>
      <c r="B94" s="1" t="n">
        <v>44343</v>
      </c>
      <c r="C94" s="1" t="n">
        <v>45824</v>
      </c>
      <c r="D94" t="inlineStr">
        <is>
          <t>VÄSTRA GÖTALANDS LÄN</t>
        </is>
      </c>
      <c r="E94" t="inlineStr">
        <is>
          <t>LILLA EDET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27518-2021</t>
        </is>
      </c>
      <c r="B95" s="1" t="n">
        <v>44351</v>
      </c>
      <c r="C95" s="1" t="n">
        <v>45824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29462-2021</t>
        </is>
      </c>
      <c r="B96" s="1" t="n">
        <v>44361</v>
      </c>
      <c r="C96" s="1" t="n">
        <v>45824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30046-2021</t>
        </is>
      </c>
      <c r="B97" s="1" t="n">
        <v>44363</v>
      </c>
      <c r="C97" s="1" t="n">
        <v>45824</v>
      </c>
      <c r="D97" t="inlineStr">
        <is>
          <t>VÄSTRA GÖTALANDS LÄN</t>
        </is>
      </c>
      <c r="E97" t="inlineStr">
        <is>
          <t>LILLA EDET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30042-2021</t>
        </is>
      </c>
      <c r="B98" s="1" t="n">
        <v>44363</v>
      </c>
      <c r="C98" s="1" t="n">
        <v>45824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30045-2021</t>
        </is>
      </c>
      <c r="B99" s="1" t="n">
        <v>44363</v>
      </c>
      <c r="C99" s="1" t="n">
        <v>45824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30951-2021</t>
        </is>
      </c>
      <c r="B100" s="1" t="n">
        <v>44365</v>
      </c>
      <c r="C100" s="1" t="n">
        <v>45824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33527-2021</t>
        </is>
      </c>
      <c r="B101" s="1" t="n">
        <v>44377</v>
      </c>
      <c r="C101" s="1" t="n">
        <v>45824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33528-2021</t>
        </is>
      </c>
      <c r="B102" s="1" t="n">
        <v>44377</v>
      </c>
      <c r="C102" s="1" t="n">
        <v>45824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33526-2021</t>
        </is>
      </c>
      <c r="B103" s="1" t="n">
        <v>44377</v>
      </c>
      <c r="C103" s="1" t="n">
        <v>45824</v>
      </c>
      <c r="D103" t="inlineStr">
        <is>
          <t>VÄSTRA GÖTALANDS LÄN</t>
        </is>
      </c>
      <c r="E103" t="inlineStr">
        <is>
          <t>LILLA EDET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41630-2021</t>
        </is>
      </c>
      <c r="B104" s="1" t="n">
        <v>44425</v>
      </c>
      <c r="C104" s="1" t="n">
        <v>45824</v>
      </c>
      <c r="D104" t="inlineStr">
        <is>
          <t>VÄSTRA GÖTALANDS LÄN</t>
        </is>
      </c>
      <c r="E104" t="inlineStr">
        <is>
          <t>LILLA EDET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51569-2021</t>
        </is>
      </c>
      <c r="B105" s="1" t="n">
        <v>44462</v>
      </c>
      <c r="C105" s="1" t="n">
        <v>45824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52953-2021</t>
        </is>
      </c>
      <c r="B106" s="1" t="n">
        <v>44467</v>
      </c>
      <c r="C106" s="1" t="n">
        <v>45824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54684-2021</t>
        </is>
      </c>
      <c r="B107" s="1" t="n">
        <v>44473</v>
      </c>
      <c r="C107" s="1" t="n">
        <v>45824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54681-2021</t>
        </is>
      </c>
      <c r="B108" s="1" t="n">
        <v>44473</v>
      </c>
      <c r="C108" s="1" t="n">
        <v>45824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55768-2021</t>
        </is>
      </c>
      <c r="B109" s="1" t="n">
        <v>44476</v>
      </c>
      <c r="C109" s="1" t="n">
        <v>45824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58750-2021</t>
        </is>
      </c>
      <c r="B110" s="1" t="n">
        <v>44489</v>
      </c>
      <c r="C110" s="1" t="n">
        <v>45824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</v>
      </c>
      <c r="C111" s="1" t="n">
        <v>45824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66827-2021</t>
        </is>
      </c>
      <c r="B112" s="1" t="n">
        <v>44522</v>
      </c>
      <c r="C112" s="1" t="n">
        <v>45824</v>
      </c>
      <c r="D112" t="inlineStr">
        <is>
          <t>VÄSTRA GÖTALANDS LÄN</t>
        </is>
      </c>
      <c r="E112" t="inlineStr">
        <is>
          <t>LILLA EDET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72537-2021</t>
        </is>
      </c>
      <c r="B113" s="1" t="n">
        <v>44546</v>
      </c>
      <c r="C113" s="1" t="n">
        <v>45824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296-2022</t>
        </is>
      </c>
      <c r="B114" s="1" t="n">
        <v>44565</v>
      </c>
      <c r="C114" s="1" t="n">
        <v>45824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2991-2022</t>
        </is>
      </c>
      <c r="B115" s="1" t="n">
        <v>44581</v>
      </c>
      <c r="C115" s="1" t="n">
        <v>45824</v>
      </c>
      <c r="D115" t="inlineStr">
        <is>
          <t>VÄSTRA GÖTALANDS LÄN</t>
        </is>
      </c>
      <c r="E115" t="inlineStr">
        <is>
          <t>LILLA EDET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3630-2022</t>
        </is>
      </c>
      <c r="B116" s="1" t="n">
        <v>44586</v>
      </c>
      <c r="C116" s="1" t="n">
        <v>45824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45824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10729-2022</t>
        </is>
      </c>
      <c r="B118" s="1" t="n">
        <v>44627</v>
      </c>
      <c r="C118" s="1" t="n">
        <v>45824</v>
      </c>
      <c r="D118" t="inlineStr">
        <is>
          <t>VÄSTRA GÖTALANDS LÄN</t>
        </is>
      </c>
      <c r="E118" t="inlineStr">
        <is>
          <t>LILLA EDET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10726-2022</t>
        </is>
      </c>
      <c r="B119" s="1" t="n">
        <v>44627</v>
      </c>
      <c r="C119" s="1" t="n">
        <v>45824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12363-2022</t>
        </is>
      </c>
      <c r="B120" s="1" t="n">
        <v>44637</v>
      </c>
      <c r="C120" s="1" t="n">
        <v>45824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45824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15576-2022</t>
        </is>
      </c>
      <c r="B122" s="1" t="n">
        <v>44662</v>
      </c>
      <c r="C122" s="1" t="n">
        <v>45824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45824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16481-2022</t>
        </is>
      </c>
      <c r="B124" s="1" t="n">
        <v>44671</v>
      </c>
      <c r="C124" s="1" t="n">
        <v>45824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18346-2022</t>
        </is>
      </c>
      <c r="B125" s="1" t="n">
        <v>44685</v>
      </c>
      <c r="C125" s="1" t="n">
        <v>45824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23297-2022</t>
        </is>
      </c>
      <c r="B126" s="1" t="n">
        <v>44720</v>
      </c>
      <c r="C126" s="1" t="n">
        <v>45824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29600-2022</t>
        </is>
      </c>
      <c r="B127" s="1" t="n">
        <v>44754</v>
      </c>
      <c r="C127" s="1" t="n">
        <v>45824</v>
      </c>
      <c r="D127" t="inlineStr">
        <is>
          <t>VÄSTRA GÖTALANDS LÄN</t>
        </is>
      </c>
      <c r="E127" t="inlineStr">
        <is>
          <t>LILLA EDET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30287-2022</t>
        </is>
      </c>
      <c r="B128" s="1" t="n">
        <v>44760</v>
      </c>
      <c r="C128" s="1" t="n">
        <v>45824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30285-2022</t>
        </is>
      </c>
      <c r="B129" s="1" t="n">
        <v>44760</v>
      </c>
      <c r="C129" s="1" t="n">
        <v>45824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30284-2022</t>
        </is>
      </c>
      <c r="B130" s="1" t="n">
        <v>44760</v>
      </c>
      <c r="C130" s="1" t="n">
        <v>45824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36359-2022</t>
        </is>
      </c>
      <c r="B131" s="1" t="n">
        <v>44803</v>
      </c>
      <c r="C131" s="1" t="n">
        <v>45824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38059-2022</t>
        </is>
      </c>
      <c r="B132" s="1" t="n">
        <v>44811</v>
      </c>
      <c r="C132" s="1" t="n">
        <v>45824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44812</v>
      </c>
      <c r="C133" s="1" t="n">
        <v>45824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38386-2022</t>
        </is>
      </c>
      <c r="B134" s="1" t="n">
        <v>44812</v>
      </c>
      <c r="C134" s="1" t="n">
        <v>45824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38384-2022</t>
        </is>
      </c>
      <c r="B135" s="1" t="n">
        <v>44812</v>
      </c>
      <c r="C135" s="1" t="n">
        <v>45824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38383-2022</t>
        </is>
      </c>
      <c r="B136" s="1" t="n">
        <v>44812</v>
      </c>
      <c r="C136" s="1" t="n">
        <v>45824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</v>
      </c>
      <c r="C137" s="1" t="n">
        <v>45824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41420-2022</t>
        </is>
      </c>
      <c r="B138" s="1" t="n">
        <v>44826</v>
      </c>
      <c r="C138" s="1" t="n">
        <v>45824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44660-2022</t>
        </is>
      </c>
      <c r="B139" s="1" t="n">
        <v>44840</v>
      </c>
      <c r="C139" s="1" t="n">
        <v>45824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48797-2022</t>
        </is>
      </c>
      <c r="B140" s="1" t="n">
        <v>44859</v>
      </c>
      <c r="C140" s="1" t="n">
        <v>45824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45824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51518-2022</t>
        </is>
      </c>
      <c r="B142" s="1" t="n">
        <v>44869</v>
      </c>
      <c r="C142" s="1" t="n">
        <v>45824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51760-2022</t>
        </is>
      </c>
      <c r="B143" s="1" t="n">
        <v>44872</v>
      </c>
      <c r="C143" s="1" t="n">
        <v>45824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52891-2022</t>
        </is>
      </c>
      <c r="B144" s="1" t="n">
        <v>44875</v>
      </c>
      <c r="C144" s="1" t="n">
        <v>45824</v>
      </c>
      <c r="D144" t="inlineStr">
        <is>
          <t>VÄSTRA GÖTALANDS LÄN</t>
        </is>
      </c>
      <c r="E144" t="inlineStr">
        <is>
          <t>LILLA EDET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45824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45824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45824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56774-2022</t>
        </is>
      </c>
      <c r="B148" s="1" t="n">
        <v>44894</v>
      </c>
      <c r="C148" s="1" t="n">
        <v>45824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56778-2022</t>
        </is>
      </c>
      <c r="B149" s="1" t="n">
        <v>44894</v>
      </c>
      <c r="C149" s="1" t="n">
        <v>45824</v>
      </c>
      <c r="D149" t="inlineStr">
        <is>
          <t>VÄSTRA GÖTALANDS LÄN</t>
        </is>
      </c>
      <c r="E149" t="inlineStr">
        <is>
          <t>LILLA EDET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56773-2022</t>
        </is>
      </c>
      <c r="B150" s="1" t="n">
        <v>44894</v>
      </c>
      <c r="C150" s="1" t="n">
        <v>45824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45824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58644-2022</t>
        </is>
      </c>
      <c r="B152" s="1" t="n">
        <v>44902</v>
      </c>
      <c r="C152" s="1" t="n">
        <v>45824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58652-2022</t>
        </is>
      </c>
      <c r="B153" s="1" t="n">
        <v>44902</v>
      </c>
      <c r="C153" s="1" t="n">
        <v>45824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58640-2022</t>
        </is>
      </c>
      <c r="B154" s="1" t="n">
        <v>44902</v>
      </c>
      <c r="C154" s="1" t="n">
        <v>45824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61284-2022</t>
        </is>
      </c>
      <c r="B155" s="1" t="n">
        <v>44915</v>
      </c>
      <c r="C155" s="1" t="n">
        <v>45824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85-2023</t>
        </is>
      </c>
      <c r="B156" s="1" t="n">
        <v>44928</v>
      </c>
      <c r="C156" s="1" t="n">
        <v>45824</v>
      </c>
      <c r="D156" t="inlineStr">
        <is>
          <t>VÄSTRA GÖTALANDS LÄN</t>
        </is>
      </c>
      <c r="E156" t="inlineStr">
        <is>
          <t>LILLA EDET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107-2023</t>
        </is>
      </c>
      <c r="B157" s="1" t="n">
        <v>44928</v>
      </c>
      <c r="C157" s="1" t="n">
        <v>45824</v>
      </c>
      <c r="D157" t="inlineStr">
        <is>
          <t>VÄSTRA GÖTALANDS LÄN</t>
        </is>
      </c>
      <c r="E157" t="inlineStr">
        <is>
          <t>LILLA EDET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122-2023</t>
        </is>
      </c>
      <c r="B158" s="1" t="n">
        <v>44928</v>
      </c>
      <c r="C158" s="1" t="n">
        <v>45824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3408-2023</t>
        </is>
      </c>
      <c r="B159" s="1" t="n">
        <v>44949</v>
      </c>
      <c r="C159" s="1" t="n">
        <v>45824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3965-2023</t>
        </is>
      </c>
      <c r="B160" s="1" t="n">
        <v>44952</v>
      </c>
      <c r="C160" s="1" t="n">
        <v>45824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4954-2023</t>
        </is>
      </c>
      <c r="B161" s="1" t="n">
        <v>44958</v>
      </c>
      <c r="C161" s="1" t="n">
        <v>45824</v>
      </c>
      <c r="D161" t="inlineStr">
        <is>
          <t>VÄSTRA GÖTALANDS LÄN</t>
        </is>
      </c>
      <c r="E161" t="inlineStr">
        <is>
          <t>LILLA EDET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4960-2023</t>
        </is>
      </c>
      <c r="B162" s="1" t="n">
        <v>44958</v>
      </c>
      <c r="C162" s="1" t="n">
        <v>45824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6323-2023</t>
        </is>
      </c>
      <c r="B163" s="1" t="n">
        <v>44960</v>
      </c>
      <c r="C163" s="1" t="n">
        <v>45824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8117-2023</t>
        </is>
      </c>
      <c r="B164" s="1" t="n">
        <v>44974</v>
      </c>
      <c r="C164" s="1" t="n">
        <v>45824</v>
      </c>
      <c r="D164" t="inlineStr">
        <is>
          <t>VÄSTRA GÖTALANDS LÄN</t>
        </is>
      </c>
      <c r="E164" t="inlineStr">
        <is>
          <t>LILLA EDET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45824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12628-2023</t>
        </is>
      </c>
      <c r="B166" s="1" t="n">
        <v>45000</v>
      </c>
      <c r="C166" s="1" t="n">
        <v>45824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12847-2023</t>
        </is>
      </c>
      <c r="B167" s="1" t="n">
        <v>45000</v>
      </c>
      <c r="C167" s="1" t="n">
        <v>45824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45824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13382-2023</t>
        </is>
      </c>
      <c r="B169" s="1" t="n">
        <v>45005</v>
      </c>
      <c r="C169" s="1" t="n">
        <v>45824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13450-2023</t>
        </is>
      </c>
      <c r="B170" s="1" t="n">
        <v>45005</v>
      </c>
      <c r="C170" s="1" t="n">
        <v>45824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</v>
      </c>
      <c r="C171" s="1" t="n">
        <v>45824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13973-2023</t>
        </is>
      </c>
      <c r="B172" s="1" t="n">
        <v>45008</v>
      </c>
      <c r="C172" s="1" t="n">
        <v>45824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13975-2023</t>
        </is>
      </c>
      <c r="B173" s="1" t="n">
        <v>45008</v>
      </c>
      <c r="C173" s="1" t="n">
        <v>45824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15135-2023</t>
        </is>
      </c>
      <c r="B174" s="1" t="n">
        <v>45016</v>
      </c>
      <c r="C174" s="1" t="n">
        <v>45824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</v>
      </c>
      <c r="C175" s="1" t="n">
        <v>45824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17116-2023</t>
        </is>
      </c>
      <c r="B176" s="1" t="n">
        <v>45034</v>
      </c>
      <c r="C176" s="1" t="n">
        <v>45824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17114-2023</t>
        </is>
      </c>
      <c r="B177" s="1" t="n">
        <v>45034</v>
      </c>
      <c r="C177" s="1" t="n">
        <v>45824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19004-2023</t>
        </is>
      </c>
      <c r="B178" s="1" t="n">
        <v>45045</v>
      </c>
      <c r="C178" s="1" t="n">
        <v>45824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19003-2023</t>
        </is>
      </c>
      <c r="B179" s="1" t="n">
        <v>45045</v>
      </c>
      <c r="C179" s="1" t="n">
        <v>45824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22612-2023</t>
        </is>
      </c>
      <c r="B180" s="1" t="n">
        <v>45071</v>
      </c>
      <c r="C180" s="1" t="n">
        <v>45824</v>
      </c>
      <c r="D180" t="inlineStr">
        <is>
          <t>VÄSTRA GÖTALANDS LÄN</t>
        </is>
      </c>
      <c r="E180" t="inlineStr">
        <is>
          <t>LILLA EDET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23494-2023</t>
        </is>
      </c>
      <c r="B181" s="1" t="n">
        <v>45072</v>
      </c>
      <c r="C181" s="1" t="n">
        <v>45824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45824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45824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45824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45824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45824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45824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45824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45824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45824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45824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45824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45824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45824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45824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45824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45824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45824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45824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45824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45824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45824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45824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45824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45824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45824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45824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45824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45824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45824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45824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45824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45824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45824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45824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45824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45824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45824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45824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45824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45824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45824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45824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45824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45824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45824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45824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45824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45824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45824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45824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45824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45824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45824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45824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45824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45824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45824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45824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45824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45824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45824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45824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45824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45824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45824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45824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45824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45824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45824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45824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45824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45824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45824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45824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45824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45824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45824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45824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45824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45824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45824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45824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45824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45824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45824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45824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45824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45824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45824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45824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45824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45824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45824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45824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45824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45824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45824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45824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45824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45824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45824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45824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45824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45824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45824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45824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45824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45824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45824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45824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45824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45824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45824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45824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45824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45824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45824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45824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45824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45824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45824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45824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45824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45824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45824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45824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45824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45824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45824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45824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45824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45824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45824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45824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45824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45824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45824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45824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45824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45824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45824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24053-2025</t>
        </is>
      </c>
      <c r="B323" s="1" t="n">
        <v>45796</v>
      </c>
      <c r="C323" s="1" t="n">
        <v>45824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27222-2025</t>
        </is>
      </c>
      <c r="B324" s="1" t="n">
        <v>45812</v>
      </c>
      <c r="C324" s="1" t="n">
        <v>45824</v>
      </c>
      <c r="D324" t="inlineStr">
        <is>
          <t>VÄSTRA GÖTALANDS LÄN</t>
        </is>
      </c>
      <c r="E324" t="inlineStr">
        <is>
          <t>LILLA EDET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27620-2025</t>
        </is>
      </c>
      <c r="B325" s="1" t="n">
        <v>45813</v>
      </c>
      <c r="C325" s="1" t="n">
        <v>45824</v>
      </c>
      <c r="D325" t="inlineStr">
        <is>
          <t>VÄSTRA GÖTALANDS LÄN</t>
        </is>
      </c>
      <c r="E325" t="inlineStr">
        <is>
          <t>LILLA EDET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28512-2025</t>
        </is>
      </c>
      <c r="B326" s="1" t="n">
        <v>45819</v>
      </c>
      <c r="C326" s="1" t="n">
        <v>45824</v>
      </c>
      <c r="D326" t="inlineStr">
        <is>
          <t>VÄSTRA GÖTALANDS LÄN</t>
        </is>
      </c>
      <c r="E326" t="inlineStr">
        <is>
          <t>LILLA EDET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28515-2025</t>
        </is>
      </c>
      <c r="B327" s="1" t="n">
        <v>45819</v>
      </c>
      <c r="C327" s="1" t="n">
        <v>45824</v>
      </c>
      <c r="D327" t="inlineStr">
        <is>
          <t>VÄSTRA GÖTALANDS LÄN</t>
        </is>
      </c>
      <c r="E327" t="inlineStr">
        <is>
          <t>LILLA EDET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2025-06-16T18:57:10Z</dcterms:created>
  <dcterms:modified xmlns:dcterms="http://purl.org/dc/terms/" xmlns:xsi="http://www.w3.org/2001/XMLSchema-instance" xsi:type="dcterms:W3CDTF">2025-06-16T18:57:11Z</dcterms:modified>
</cp:coreProperties>
</file>