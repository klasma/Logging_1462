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46232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46232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46232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46232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46232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46232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46232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46232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Ask
Slåtterfibbla
Vätteros
Blåsippa</t>
        </is>
      </c>
      <c r="W12">
        <f>HYPERLINK("https://klasma.github.io/Logging_1462/artfynd/A 43771-2023 artfynd.xlsx", "A 43771-2023")</f>
        <v/>
      </c>
      <c r="X12">
        <f>HYPERLINK("https://klasma.github.io/Logging_1462/kartor/A 43771-2023 karta.png", "A 43771-2023")</f>
        <v/>
      </c>
      <c r="Y12">
        <f>HYPERLINK("https://klasma.github.io/Logging_1462/kartor_geotiff/A 43771-2023 georefererad karta.tif", "A 43771-2023")</f>
        <v/>
      </c>
      <c r="AA12">
        <f>HYPERLINK("https://klasma.github.io/Logging_1462/klagomål/A 43771-2023 FSC-klagomål.docx", "A 43771-2023")</f>
        <v/>
      </c>
      <c r="AB12">
        <f>HYPERLINK("https://klasma.github.io/Logging_1462/klagomålsmail/A 43771-2023 FSC-klagomål mail.docx", "A 43771-2023")</f>
        <v/>
      </c>
      <c r="AC12">
        <f>HYPERLINK("https://klasma.github.io/Logging_1462/tillsyn/A 43771-2023 tillsynsbegäran.docx", "A 43771-2023")</f>
        <v/>
      </c>
      <c r="AD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46232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t="n">
        <v>19</v>
      </c>
      <c r="V13" s="2" t="inlineStr">
        <is>
          <t>Blåmossa
Västlig hakmossa
Spillkråka
Tjäder</t>
        </is>
      </c>
      <c r="W13">
        <f>HYPERLINK("https://klasma.github.io/Logging_1462/artfynd/A 28512-2025 artfynd.xlsx", "A 28512-2025")</f>
        <v/>
      </c>
      <c r="X13">
        <f>HYPERLINK("https://klasma.github.io/Logging_1462/kartor/A 28512-2025 karta.png", "A 28512-2025")</f>
        <v/>
      </c>
      <c r="Y13">
        <f>HYPERLINK("https://klasma.github.io/Logging_1462/kartor_geotiff/A 28512-2025 georefererad karta.tif", "A 28512-2025")</f>
        <v/>
      </c>
      <c r="AA13">
        <f>HYPERLINK("https://klasma.github.io/Logging_1462/klagomål/A 28512-2025 FSC-klagomål.docx", "A 28512-2025")</f>
        <v/>
      </c>
      <c r="AB13">
        <f>HYPERLINK("https://klasma.github.io/Logging_1462/klagomålsmail/A 28512-2025 FSC-klagomål mail.docx", "A 28512-2025")</f>
        <v/>
      </c>
      <c r="AC13">
        <f>HYPERLINK("https://klasma.github.io/Logging_1462/tillsyn/A 28512-2025 tillsynsbegäran.docx", "A 28512-2025")</f>
        <v/>
      </c>
      <c r="AD13">
        <f>HYPERLINK("https://klasma.github.io/Logging_1462/tillsynsmail/A 28512-2025 tillsynsbegäran mail.docx", "A 28512-2025")</f>
        <v/>
      </c>
      <c r="AE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46232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24290-2026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46169</v>
      </c>
      <c r="E15" s="1" t="n">
        <v>46232</v>
      </c>
      <c r="F15" t="inlineStr">
        <is>
          <t>VÄSTRA GÖTALANDS LÄN</t>
        </is>
      </c>
      <c r="G15" t="inlineStr">
        <is>
          <t>LILLA EDET</t>
        </is>
      </c>
      <c r="I15" t="n">
        <v>3.6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Blanksvart trämyra
Grönpyrola
Västlig hakmossa
Spillkråka</t>
        </is>
      </c>
      <c r="W15">
        <f>HYPERLINK("https://klasma.github.io/Logging_1462/artfynd/A 24290-2026 artfynd.xlsx", "A 24290-2026")</f>
        <v/>
      </c>
      <c r="X15">
        <f>HYPERLINK("https://klasma.github.io/Logging_1462/kartor/A 24290-2026 karta.png", "A 24290-2026")</f>
        <v/>
      </c>
      <c r="Y15">
        <f>HYPERLINK("https://klasma.github.io/Logging_1462/kartor_geotiff/A 24290-2026 georefererad karta.tif", "A 24290-2026")</f>
        <v/>
      </c>
      <c r="AA15">
        <f>HYPERLINK("https://klasma.github.io/Logging_1462/klagomål/A 24290-2026 FSC-klagomål.docx", "A 24290-2026")</f>
        <v/>
      </c>
      <c r="AB15">
        <f>HYPERLINK("https://klasma.github.io/Logging_1462/klagomålsmail/A 24290-2026 FSC-klagomål mail.docx", "A 24290-2026")</f>
        <v/>
      </c>
      <c r="AC15">
        <f>HYPERLINK("https://klasma.github.io/Logging_1462/tillsyn/A 24290-2026 tillsynsbegäran.docx", "A 24290-2026")</f>
        <v/>
      </c>
      <c r="AD15">
        <f>HYPERLINK("https://klasma.github.io/Logging_1462/tillsynsmail/A 24290-2026 tillsynsbegäran mail.docx", "A 24290-2026")</f>
        <v/>
      </c>
      <c r="AE15">
        <f>HYPERLINK("https://klasma.github.io/Logging_1462/fåglar/A 24290-2026 prioriterade fågelarter.docx", "A 24290-2026")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46232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46232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46232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46232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46232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46232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46232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46232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46232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46232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46232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46232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46232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Ärtsångare</t>
        </is>
      </c>
      <c r="W28">
        <f>HYPERLINK("https://klasma.github.io/Logging_1462/artfynd/A 30273-2022 artfynd.xlsx", "A 30273-2022")</f>
        <v/>
      </c>
      <c r="X28">
        <f>HYPERLINK("https://klasma.github.io/Logging_1462/kartor/A 30273-2022 karta.png", "A 30273-2022")</f>
        <v/>
      </c>
      <c r="Y28">
        <f>HYPERLINK("https://klasma.github.io/Logging_1462/kartor_geotiff/A 30273-2022 georefererad karta.tif", "A 30273-2022")</f>
        <v/>
      </c>
      <c r="AA28">
        <f>HYPERLINK("https://klasma.github.io/Logging_1462/klagomål/A 30273-2022 FSC-klagomål.docx", "A 30273-2022")</f>
        <v/>
      </c>
      <c r="AB28">
        <f>HYPERLINK("https://klasma.github.io/Logging_1462/klagomålsmail/A 30273-2022 FSC-klagomål mail.docx", "A 30273-2022")</f>
        <v/>
      </c>
      <c r="AC28">
        <f>HYPERLINK("https://klasma.github.io/Logging_1462/tillsyn/A 30273-2022 tillsynsbegäran.docx", "A 30273-2022")</f>
        <v/>
      </c>
      <c r="AD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46232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46232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46232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46232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46232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46232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46232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46232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46232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46232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46232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46232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46232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46232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46232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46232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46232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46232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46232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46232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46232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46232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46232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46232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46232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46232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46232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46232</v>
      </c>
      <c r="F57" t="inlineStr">
        <is>
          <t>VÄSTRA GÖTALANDS LÄN</t>
        </is>
      </c>
      <c r="G57" t="inlineStr">
        <is>
          <t>LILLA EDET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46232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46232</v>
      </c>
      <c r="F59" t="inlineStr">
        <is>
          <t>VÄSTRA GÖTALANDS LÄN</t>
        </is>
      </c>
      <c r="G59" t="inlineStr">
        <is>
          <t>LILLA EDET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46232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45646</v>
      </c>
      <c r="E61" s="1" t="n">
        <v>46232</v>
      </c>
      <c r="F61" t="inlineStr">
        <is>
          <t>VÄSTRA GÖTALANDS LÄN</t>
        </is>
      </c>
      <c r="G61" t="inlineStr">
        <is>
          <t>LILLA EDET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46232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46232</v>
      </c>
      <c r="F63" t="inlineStr">
        <is>
          <t>VÄSTRA GÖTALANDS LÄN</t>
        </is>
      </c>
      <c r="G63" t="inlineStr">
        <is>
          <t>LILLA EDET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46232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27222-2025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45812</v>
      </c>
      <c r="E65" s="1" t="n">
        <v>46232</v>
      </c>
      <c r="F65" t="inlineStr">
        <is>
          <t>VÄSTRA GÖTALANDS LÄN</t>
        </is>
      </c>
      <c r="G65" t="inlineStr">
        <is>
          <t>LILLA EDET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46232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46036</v>
      </c>
      <c r="E67" s="1" t="n">
        <v>46232</v>
      </c>
      <c r="F67" t="inlineStr">
        <is>
          <t>VÄSTRA GÖTALANDS LÄN</t>
        </is>
      </c>
      <c r="G67" t="inlineStr">
        <is>
          <t>LILLA EDET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46232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46036</v>
      </c>
      <c r="E69" s="1" t="n">
        <v>46232</v>
      </c>
      <c r="F69" t="inlineStr">
        <is>
          <t>VÄSTRA GÖTALANDS LÄN</t>
        </is>
      </c>
      <c r="G69" t="inlineStr">
        <is>
          <t>LILLA EDET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45693</v>
      </c>
      <c r="E70" s="1" t="n">
        <v>46232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46232</v>
      </c>
      <c r="F71" t="inlineStr">
        <is>
          <t>VÄSTRA GÖTALANDS LÄN</t>
        </is>
      </c>
      <c r="G71" t="inlineStr">
        <is>
          <t>LILLA EDET</t>
        </is>
      </c>
      <c r="I71" t="n">
        <v>8.800000000000001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45664</v>
      </c>
      <c r="E72" s="1" t="n">
        <v>46232</v>
      </c>
      <c r="F72" t="inlineStr">
        <is>
          <t>VÄSTRA GÖTALANDS LÄN</t>
        </is>
      </c>
      <c r="G72" t="inlineStr">
        <is>
          <t>LILLA EDET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46232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45000</v>
      </c>
      <c r="E74" s="1" t="n">
        <v>46232</v>
      </c>
      <c r="F74" t="inlineStr">
        <is>
          <t>VÄSTRA GÖTALANDS LÄN</t>
        </is>
      </c>
      <c r="G74" t="inlineStr">
        <is>
          <t>LILLA EDET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46232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46232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46232</v>
      </c>
      <c r="F77" t="inlineStr">
        <is>
          <t>VÄSTRA GÖTALANDS LÄN</t>
        </is>
      </c>
      <c r="G77" t="inlineStr">
        <is>
          <t>LILLA EDET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45855</v>
      </c>
      <c r="E78" s="1" t="n">
        <v>46232</v>
      </c>
      <c r="F78" t="inlineStr">
        <is>
          <t>VÄSTRA GÖTALANDS LÄN</t>
        </is>
      </c>
      <c r="G78" t="inlineStr">
        <is>
          <t>LILLA EDET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46232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46232</v>
      </c>
      <c r="F80" t="inlineStr">
        <is>
          <t>VÄSTRA GÖTALANDS LÄN</t>
        </is>
      </c>
      <c r="G80" t="inlineStr">
        <is>
          <t>LILLA EDET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46232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46232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46232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46232</v>
      </c>
      <c r="F84" t="inlineStr">
        <is>
          <t>VÄSTRA GÖTALANDS LÄN</t>
        </is>
      </c>
      <c r="G84" t="inlineStr">
        <is>
          <t>LILLA EDET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46232</v>
      </c>
      <c r="F85" t="inlineStr">
        <is>
          <t>VÄSTRA GÖTALANDS LÄN</t>
        </is>
      </c>
      <c r="G85" t="inlineStr">
        <is>
          <t>LILLA EDET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46232</v>
      </c>
      <c r="F86" t="inlineStr">
        <is>
          <t>VÄSTRA GÖTALANDS LÄN</t>
        </is>
      </c>
      <c r="G86" t="inlineStr">
        <is>
          <t>LILLA EDET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46232</v>
      </c>
      <c r="F87" t="inlineStr">
        <is>
          <t>VÄSTRA GÖTALANDS LÄN</t>
        </is>
      </c>
      <c r="G87" t="inlineStr">
        <is>
          <t>LILLA EDET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46232</v>
      </c>
      <c r="F88" t="inlineStr">
        <is>
          <t>VÄSTRA GÖTALANDS LÄN</t>
        </is>
      </c>
      <c r="G88" t="inlineStr">
        <is>
          <t>LILLA EDET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45855</v>
      </c>
      <c r="E89" s="1" t="n">
        <v>46232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46232</v>
      </c>
      <c r="F90" t="inlineStr">
        <is>
          <t>VÄSTRA GÖTALANDS LÄN</t>
        </is>
      </c>
      <c r="G90" t="inlineStr">
        <is>
          <t>LILLA EDET</t>
        </is>
      </c>
      <c r="I90" t="n">
        <v>11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35717-2025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46232</v>
      </c>
      <c r="F91" t="inlineStr">
        <is>
          <t>VÄSTRA GÖTALANDS LÄN</t>
        </is>
      </c>
      <c r="G91" t="inlineStr">
        <is>
          <t>LILLA EDET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46232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46232</v>
      </c>
      <c r="F93" t="inlineStr">
        <is>
          <t>VÄSTRA GÖTALANDS LÄN</t>
        </is>
      </c>
      <c r="G93" t="inlineStr">
        <is>
          <t>LILLA EDET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46232</v>
      </c>
      <c r="F94" t="inlineStr">
        <is>
          <t>VÄSTRA GÖTALANDS LÄN</t>
        </is>
      </c>
      <c r="G94" t="inlineStr">
        <is>
          <t>LILLA EDET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46232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46232</v>
      </c>
      <c r="F96" t="inlineStr">
        <is>
          <t>VÄSTRA GÖTALANDS LÄN</t>
        </is>
      </c>
      <c r="G96" t="inlineStr">
        <is>
          <t>LILLA EDET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46232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45855</v>
      </c>
      <c r="E98" s="1" t="n">
        <v>46232</v>
      </c>
      <c r="F98" t="inlineStr">
        <is>
          <t>VÄSTRA GÖTALANDS LÄN</t>
        </is>
      </c>
      <c r="G98" t="inlineStr">
        <is>
          <t>LILLA EDET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46232</v>
      </c>
      <c r="F99" t="inlineStr">
        <is>
          <t>VÄSTRA GÖTALANDS LÄN</t>
        </is>
      </c>
      <c r="G99" t="inlineStr">
        <is>
          <t>LILLA EDET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46232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46232</v>
      </c>
      <c r="F101" t="inlineStr">
        <is>
          <t>VÄSTRA GÖTALANDS LÄN</t>
        </is>
      </c>
      <c r="G101" t="inlineStr">
        <is>
          <t>LILLA EDET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46232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45006</v>
      </c>
      <c r="E103" s="1" t="n">
        <v>46232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46232</v>
      </c>
      <c r="F104" t="inlineStr">
        <is>
          <t>VÄSTRA GÖTALANDS LÄN</t>
        </is>
      </c>
      <c r="G104" t="inlineStr">
        <is>
          <t>LILLA EDET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45008</v>
      </c>
      <c r="E105" s="1" t="n">
        <v>46232</v>
      </c>
      <c r="F105" t="inlineStr">
        <is>
          <t>VÄSTRA GÖTALANDS LÄN</t>
        </is>
      </c>
      <c r="G105" t="inlineStr">
        <is>
          <t>LILLA EDET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46232</v>
      </c>
      <c r="F106" t="inlineStr">
        <is>
          <t>VÄSTRA GÖTALANDS LÄN</t>
        </is>
      </c>
      <c r="G106" t="inlineStr">
        <is>
          <t>LILLA EDET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46232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46232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46232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46232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46232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45295</v>
      </c>
      <c r="E112" s="1" t="n">
        <v>46232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46232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46232</v>
      </c>
      <c r="F114" t="inlineStr">
        <is>
          <t>VÄSTRA GÖTALANDS LÄN</t>
        </is>
      </c>
      <c r="G114" t="inlineStr">
        <is>
          <t>LILLA EDET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46232</v>
      </c>
      <c r="F115" t="inlineStr">
        <is>
          <t>VÄSTRA GÖTALANDS LÄN</t>
        </is>
      </c>
      <c r="G115" t="inlineStr">
        <is>
          <t>LILLA EDET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46232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46232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38093-2022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46232</v>
      </c>
      <c r="F118" t="inlineStr">
        <is>
          <t>VÄSTRA GÖTALANDS LÄN</t>
        </is>
      </c>
      <c r="G118" t="inlineStr">
        <is>
          <t>LILLA EDET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46232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44869</v>
      </c>
      <c r="E120" s="1" t="n">
        <v>46232</v>
      </c>
      <c r="F120" t="inlineStr">
        <is>
          <t>VÄSTRA GÖTALANDS LÄN</t>
        </is>
      </c>
      <c r="G120" t="inlineStr">
        <is>
          <t>LILLA EDET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46232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46232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46232</v>
      </c>
      <c r="F123" t="inlineStr">
        <is>
          <t>VÄSTRA GÖTALANDS LÄN</t>
        </is>
      </c>
      <c r="G123" t="inlineStr">
        <is>
          <t>LILLA EDET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46129</v>
      </c>
      <c r="E124" s="1" t="n">
        <v>46232</v>
      </c>
      <c r="F124" t="inlineStr">
        <is>
          <t>VÄSTRA GÖTALANDS LÄN</t>
        </is>
      </c>
      <c r="G124" t="inlineStr">
        <is>
          <t>LILLA EDET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45480</v>
      </c>
      <c r="E125" s="1" t="n">
        <v>46232</v>
      </c>
      <c r="F125" t="inlineStr">
        <is>
          <t>VÄSTRA GÖTALANDS LÄN</t>
        </is>
      </c>
      <c r="G125" t="inlineStr">
        <is>
          <t>LILLA EDET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44915</v>
      </c>
      <c r="E126" s="1" t="n">
        <v>46232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46232</v>
      </c>
      <c r="F127" t="inlineStr">
        <is>
          <t>VÄSTRA GÖTALANDS LÄN</t>
        </is>
      </c>
      <c r="G127" t="inlineStr">
        <is>
          <t>LILLA EDET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46232</v>
      </c>
      <c r="F128" t="inlineStr">
        <is>
          <t>VÄSTRA GÖTALANDS LÄN</t>
        </is>
      </c>
      <c r="G128" t="inlineStr">
        <is>
          <t>LILLA EDET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46232</v>
      </c>
      <c r="F129" t="inlineStr">
        <is>
          <t>VÄSTRA GÖTALANDS LÄN</t>
        </is>
      </c>
      <c r="G129" t="inlineStr">
        <is>
          <t>LILLA EDET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46232</v>
      </c>
      <c r="F130" t="inlineStr">
        <is>
          <t>VÄSTRA GÖTALANDS LÄN</t>
        </is>
      </c>
      <c r="G130" t="inlineStr">
        <is>
          <t>LILLA EDET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45766</v>
      </c>
      <c r="E131" s="1" t="n">
        <v>46232</v>
      </c>
      <c r="F131" t="inlineStr">
        <is>
          <t>VÄSTRA GÖTALANDS LÄN</t>
        </is>
      </c>
      <c r="G131" t="inlineStr">
        <is>
          <t>LILLA EDET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45653</v>
      </c>
      <c r="E132" s="1" t="n">
        <v>46232</v>
      </c>
      <c r="F132" t="inlineStr">
        <is>
          <t>VÄSTRA GÖTALANDS LÄN</t>
        </is>
      </c>
      <c r="G132" t="inlineStr">
        <is>
          <t>LILLA EDET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45098</v>
      </c>
      <c r="E133" s="1" t="n">
        <v>46232</v>
      </c>
      <c r="F133" t="inlineStr">
        <is>
          <t>VÄSTRA GÖTALANDS LÄN</t>
        </is>
      </c>
      <c r="G133" t="inlineStr">
        <is>
          <t>LILLA EDET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46232</v>
      </c>
      <c r="F134" t="inlineStr">
        <is>
          <t>VÄSTRA GÖTALANDS LÄN</t>
        </is>
      </c>
      <c r="G134" t="inlineStr">
        <is>
          <t>LILLA EDET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44883</v>
      </c>
      <c r="E135" s="1" t="n">
        <v>46232</v>
      </c>
      <c r="F135" t="inlineStr">
        <is>
          <t>VÄSTRA GÖTALANDS LÄN</t>
        </is>
      </c>
      <c r="G135" t="inlineStr">
        <is>
          <t>LILLA EDET</t>
        </is>
      </c>
      <c r="I135" t="n">
        <v>22.6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46232</v>
      </c>
      <c r="F136" t="inlineStr">
        <is>
          <t>VÄSTRA GÖTALANDS LÄN</t>
        </is>
      </c>
      <c r="G136" t="inlineStr">
        <is>
          <t>LILLA EDET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45225</v>
      </c>
      <c r="E137" s="1" t="n">
        <v>46232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45134</v>
      </c>
      <c r="E138" s="1" t="n">
        <v>46232</v>
      </c>
      <c r="F138" t="inlineStr">
        <is>
          <t>VÄSTRA GÖTALANDS LÄN</t>
        </is>
      </c>
      <c r="G138" t="inlineStr">
        <is>
          <t>LILLA EDET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46232</v>
      </c>
      <c r="F139" t="inlineStr">
        <is>
          <t>VÄSTRA GÖTALANDS LÄN</t>
        </is>
      </c>
      <c r="G139" t="inlineStr">
        <is>
          <t>LILLA EDET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46232</v>
      </c>
      <c r="F140" t="inlineStr">
        <is>
          <t>VÄSTRA GÖTALANDS LÄN</t>
        </is>
      </c>
      <c r="G140" t="inlineStr">
        <is>
          <t>LILLA EDET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46232</v>
      </c>
      <c r="F141" t="inlineStr">
        <is>
          <t>VÄSTRA GÖTALANDS LÄN</t>
        </is>
      </c>
      <c r="G141" t="inlineStr">
        <is>
          <t>LILLA EDET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46232</v>
      </c>
      <c r="F142" t="inlineStr">
        <is>
          <t>VÄSTRA GÖTALANDS LÄN</t>
        </is>
      </c>
      <c r="G142" t="inlineStr">
        <is>
          <t>LILLA EDET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46232</v>
      </c>
      <c r="F143" t="inlineStr">
        <is>
          <t>VÄSTRA GÖTALANDS LÄN</t>
        </is>
      </c>
      <c r="G143" t="inlineStr">
        <is>
          <t>LILLA EDET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44662</v>
      </c>
      <c r="E144" s="1" t="n">
        <v>46232</v>
      </c>
      <c r="F144" t="inlineStr">
        <is>
          <t>VÄSTRA GÖTALANDS LÄN</t>
        </is>
      </c>
      <c r="G144" t="inlineStr">
        <is>
          <t>LILLA EDET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45442</v>
      </c>
      <c r="E145" s="1" t="n">
        <v>46232</v>
      </c>
      <c r="F145" t="inlineStr">
        <is>
          <t>VÄSTRA GÖTALANDS LÄN</t>
        </is>
      </c>
      <c r="G145" t="inlineStr">
        <is>
          <t>LILLA EDET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27643-2026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46232</v>
      </c>
      <c r="F146" t="inlineStr">
        <is>
          <t>VÄSTRA GÖTALANDS LÄN</t>
        </is>
      </c>
      <c r="G146" t="inlineStr">
        <is>
          <t>LILLA EDET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46232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45299</v>
      </c>
      <c r="E148" s="1" t="n">
        <v>46232</v>
      </c>
      <c r="F148" t="inlineStr">
        <is>
          <t>VÄSTRA GÖTALANDS LÄN</t>
        </is>
      </c>
      <c r="G148" t="inlineStr">
        <is>
          <t>LILLA EDET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46232</v>
      </c>
      <c r="F149" t="inlineStr">
        <is>
          <t>VÄSTRA GÖTALANDS LÄN</t>
        </is>
      </c>
      <c r="G149" t="inlineStr">
        <is>
          <t>LILLA EDET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23541-2026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46163</v>
      </c>
      <c r="E150" s="1" t="n">
        <v>46232</v>
      </c>
      <c r="F150" t="inlineStr">
        <is>
          <t>VÄSTRA GÖTALANDS LÄN</t>
        </is>
      </c>
      <c r="G150" t="inlineStr">
        <is>
          <t>LILLA EDET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45391</v>
      </c>
      <c r="E151" s="1" t="n">
        <v>46232</v>
      </c>
      <c r="F151" t="inlineStr">
        <is>
          <t>VÄSTRA GÖTALANDS LÄN</t>
        </is>
      </c>
      <c r="G151" t="inlineStr">
        <is>
          <t>LILLA EDET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46232</v>
      </c>
      <c r="F152" t="inlineStr">
        <is>
          <t>VÄSTRA GÖTALANDS LÄN</t>
        </is>
      </c>
      <c r="G152" t="inlineStr">
        <is>
          <t>LILLA EDET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46232</v>
      </c>
      <c r="F153" t="inlineStr">
        <is>
          <t>VÄSTRA GÖTALANDS LÄN</t>
        </is>
      </c>
      <c r="G153" t="inlineStr">
        <is>
          <t>LILLA EDET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46232</v>
      </c>
      <c r="F154" t="inlineStr">
        <is>
          <t>VÄSTRA GÖTALANDS LÄN</t>
        </is>
      </c>
      <c r="G154" t="inlineStr">
        <is>
          <t>LILLA EDET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45480</v>
      </c>
      <c r="E155" s="1" t="n">
        <v>46232</v>
      </c>
      <c r="F155" t="inlineStr">
        <is>
          <t>VÄSTRA GÖTALANDS LÄN</t>
        </is>
      </c>
      <c r="G155" t="inlineStr">
        <is>
          <t>LILLA EDET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46232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46232</v>
      </c>
      <c r="F157" t="inlineStr">
        <is>
          <t>VÄSTRA GÖTALANDS LÄN</t>
        </is>
      </c>
      <c r="G157" t="inlineStr">
        <is>
          <t>LILLA EDET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46232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46232</v>
      </c>
      <c r="F159" t="inlineStr">
        <is>
          <t>VÄSTRA GÖTALANDS LÄN</t>
        </is>
      </c>
      <c r="G159" t="inlineStr">
        <is>
          <t>LILLA EDET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46232</v>
      </c>
      <c r="F160" t="inlineStr">
        <is>
          <t>VÄSTRA GÖTALANDS LÄN</t>
        </is>
      </c>
      <c r="G160" t="inlineStr">
        <is>
          <t>LILLA EDET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46232</v>
      </c>
      <c r="F161" t="inlineStr">
        <is>
          <t>VÄSTRA GÖTALANDS LÄN</t>
        </is>
      </c>
      <c r="G161" t="inlineStr">
        <is>
          <t>LILLA EDET</t>
        </is>
      </c>
      <c r="I161" t="n">
        <v>16.4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46232</v>
      </c>
      <c r="F162" t="inlineStr">
        <is>
          <t>VÄSTRA GÖTALANDS LÄN</t>
        </is>
      </c>
      <c r="G162" t="inlineStr">
        <is>
          <t>LILLA EDET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46232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46232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Kommuner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46232</v>
      </c>
      <c r="F165" t="inlineStr">
        <is>
          <t>VÄSTRA GÖTALANDS LÄN</t>
        </is>
      </c>
      <c r="G165" t="inlineStr">
        <is>
          <t>LILLA EDET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45213</v>
      </c>
      <c r="E166" s="1" t="n">
        <v>46232</v>
      </c>
      <c r="F166" t="inlineStr">
        <is>
          <t>VÄSTRA GÖTALANDS LÄN</t>
        </is>
      </c>
      <c r="G166" t="inlineStr">
        <is>
          <t>LILLA EDET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46232</v>
      </c>
      <c r="F167" t="inlineStr">
        <is>
          <t>VÄSTRA GÖTALANDS LÄN</t>
        </is>
      </c>
      <c r="G167" t="inlineStr">
        <is>
          <t>LILLA EDET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46232</v>
      </c>
      <c r="F168" t="inlineStr">
        <is>
          <t>VÄSTRA GÖTALANDS LÄN</t>
        </is>
      </c>
      <c r="G168" t="inlineStr">
        <is>
          <t>LILLA EDET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46232</v>
      </c>
      <c r="F169" t="inlineStr">
        <is>
          <t>VÄSTRA GÖTALANDS LÄN</t>
        </is>
      </c>
      <c r="G169" t="inlineStr">
        <is>
          <t>LILLA EDET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46232</v>
      </c>
      <c r="F170" t="inlineStr">
        <is>
          <t>VÄSTRA GÖTALANDS LÄN</t>
        </is>
      </c>
      <c r="G170" t="inlineStr">
        <is>
          <t>LILLA EDET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46232</v>
      </c>
      <c r="F171" t="inlineStr">
        <is>
          <t>VÄSTRA GÖTALANDS LÄN</t>
        </is>
      </c>
      <c r="G171" t="inlineStr">
        <is>
          <t>LILLA EDET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46232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45733</v>
      </c>
      <c r="E173" s="1" t="n">
        <v>46232</v>
      </c>
      <c r="F173" t="inlineStr">
        <is>
          <t>VÄSTRA GÖTALANDS LÄN</t>
        </is>
      </c>
      <c r="G173" t="inlineStr">
        <is>
          <t>LILLA EDET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46232</v>
      </c>
      <c r="F174" t="inlineStr">
        <is>
          <t>VÄSTRA GÖTALANDS LÄN</t>
        </is>
      </c>
      <c r="G174" t="inlineStr">
        <is>
          <t>LILLA EDET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45496</v>
      </c>
      <c r="E175" s="1" t="n">
        <v>46232</v>
      </c>
      <c r="F175" t="inlineStr">
        <is>
          <t>VÄSTRA GÖTALANDS LÄN</t>
        </is>
      </c>
      <c r="G175" t="inlineStr">
        <is>
          <t>LILLA EDET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46232</v>
      </c>
      <c r="F176" t="inlineStr">
        <is>
          <t>VÄSTRA GÖTALANDS LÄN</t>
        </is>
      </c>
      <c r="G176" t="inlineStr">
        <is>
          <t>LILLA EDET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46232</v>
      </c>
      <c r="F177" t="inlineStr">
        <is>
          <t>VÄSTRA GÖTALANDS LÄN</t>
        </is>
      </c>
      <c r="G177" t="inlineStr">
        <is>
          <t>LILLA EDET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46232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24053-2025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45796</v>
      </c>
      <c r="E179" s="1" t="n">
        <v>46232</v>
      </c>
      <c r="F179" t="inlineStr">
        <is>
          <t>VÄSTRA GÖTALANDS LÄN</t>
        </is>
      </c>
      <c r="G179" t="inlineStr">
        <is>
          <t>LILLA EDET</t>
        </is>
      </c>
      <c r="I179" t="n">
        <v>11.1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46232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2026-07-29T01:50:01Z</dcterms:created>
  <dcterms:modified xmlns:dcterms="http://purl.org/dc/terms/" xmlns:xsi="http://www.w3.org/2001/XMLSchema-instance" xsi:type="dcterms:W3CDTF">2026-07-29T01:50:01Z</dcterms:modified>
</cp:coreProperties>
</file>