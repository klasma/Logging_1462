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46231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46231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46231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46231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46231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46231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46231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46231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46231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46231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46231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t="n">
        <v>7</v>
      </c>
      <c r="V15" s="2" t="inlineStr">
        <is>
          <t>Nordfladdermus
Dvärgpipistrell
Vattenfladdermus
Grönvit nattviol</t>
        </is>
      </c>
      <c r="W15">
        <f>HYPERLINK("https://klasma.github.io/Logging_1462/artfynd/A 23563-2023 artfynd.xlsx", "A 23563-2023")</f>
        <v/>
      </c>
      <c r="X15">
        <f>HYPERLINK("https://klasma.github.io/Logging_1462/kartor/A 23563-2023 karta.png", "A 23563-2023")</f>
        <v/>
      </c>
      <c r="Y15">
        <f>HYPERLINK("https://klasma.github.io/Logging_1462/kartor_geotiff/A 23563-2023 georefererad karta.tif", "A 23563-2023")</f>
        <v/>
      </c>
      <c r="AA15">
        <f>HYPERLINK("https://klasma.github.io/Logging_1462/klagomål/A 23563-2023 FSC-klagomål.docx", "A 23563-2023")</f>
        <v/>
      </c>
      <c r="AB15">
        <f>HYPERLINK("https://klasma.github.io/Logging_1462/klagomålsmail/A 23563-2023 FSC-klagomål mail.docx", "A 23563-2023")</f>
        <v/>
      </c>
      <c r="AC15">
        <f>HYPERLINK("https://klasma.github.io/Logging_1462/tillsyn/A 23563-2023 tillsynsbegäran.docx", "A 23563-2023")</f>
        <v/>
      </c>
      <c r="AD15">
        <f>HYPERLINK("https://klasma.github.io/Logging_1462/tillsynsmail/A 23563-2023 tillsynsbegäran mail.docx", "A 23563-2023")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46231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46231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25655-2023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45089</v>
      </c>
      <c r="E18" s="1" t="n">
        <v>46231</v>
      </c>
      <c r="F18" t="inlineStr">
        <is>
          <t>VÄSTRA GÖTALANDS LÄN</t>
        </is>
      </c>
      <c r="G18" t="inlineStr">
        <is>
          <t>LILLA EDET</t>
        </is>
      </c>
      <c r="I18" t="n">
        <v>5.1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8</v>
      </c>
      <c r="U18" t="n">
        <v>6</v>
      </c>
      <c r="V18" s="2" t="inlineStr">
        <is>
          <t>Bergjohannesört
Svinrot
Fläcknycklar</t>
        </is>
      </c>
      <c r="W18">
        <f>HYPERLINK("https://klasma.github.io/Logging_1462/artfynd/A 25655-2023 artfynd.xlsx", "A 25655-2023")</f>
        <v/>
      </c>
      <c r="X18">
        <f>HYPERLINK("https://klasma.github.io/Logging_1462/kartor/A 25655-2023 karta.png", "A 25655-2023")</f>
        <v/>
      </c>
      <c r="Y18">
        <f>HYPERLINK("https://klasma.github.io/Logging_1462/kartor_geotiff/A 25655-2023 georefererad karta.tif", "A 25655-2023")</f>
        <v/>
      </c>
      <c r="AA18">
        <f>HYPERLINK("https://klasma.github.io/Logging_1462/klagomål/A 25655-2023 FSC-klagomål.docx", "A 25655-2023")</f>
        <v/>
      </c>
      <c r="AB18">
        <f>HYPERLINK("https://klasma.github.io/Logging_1462/klagomålsmail/A 25655-2023 FSC-klagomål mail.docx", "A 25655-2023")</f>
        <v/>
      </c>
      <c r="AC18">
        <f>HYPERLINK("https://klasma.github.io/Logging_1462/tillsyn/A 25655-2023 tillsynsbegäran.docx", "A 25655-2023")</f>
        <v/>
      </c>
      <c r="AD18">
        <f>HYPERLINK("https://klasma.github.io/Logging_1462/tillsynsmail/A 25655-2023 tillsynsbegäran mail.docx", "A 25655-2023")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46231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t="n">
        <v>8</v>
      </c>
      <c r="V19" s="2" t="inlineStr">
        <is>
          <t>Flodpärlmussla
Spillkråka
Revlummer</t>
        </is>
      </c>
      <c r="W19">
        <f>HYPERLINK("https://klasma.github.io/Logging_1462/artfynd/A 23559-2023 artfynd.xlsx", "A 23559-2023")</f>
        <v/>
      </c>
      <c r="X19">
        <f>HYPERLINK("https://klasma.github.io/Logging_1462/kartor/A 23559-2023 karta.png", "A 23559-2023")</f>
        <v/>
      </c>
      <c r="Y19">
        <f>HYPERLINK("https://klasma.github.io/Logging_1462/kartor_geotiff/A 23559-2023 georefererad karta.tif", "A 23559-2023")</f>
        <v/>
      </c>
      <c r="AA19">
        <f>HYPERLINK("https://klasma.github.io/Logging_1462/klagomål/A 23559-2023 FSC-klagomål.docx", "A 23559-2023")</f>
        <v/>
      </c>
      <c r="AB19">
        <f>HYPERLINK("https://klasma.github.io/Logging_1462/klagomålsmail/A 23559-2023 FSC-klagomål mail.docx", "A 23559-2023")</f>
        <v/>
      </c>
      <c r="AC19">
        <f>HYPERLINK("https://klasma.github.io/Logging_1462/tillsyn/A 23559-2023 tillsynsbegäran.docx", "A 23559-2023")</f>
        <v/>
      </c>
      <c r="AD19">
        <f>HYPERLINK("https://klasma.github.io/Logging_1462/tillsynsmail/A 23559-2023 tillsynsbegäran mail.docx", "A 23559-2023")</f>
        <v/>
      </c>
      <c r="AE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46231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46231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46231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46231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46231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46231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46231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46231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46231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46231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46231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46231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46231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46231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46231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46231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46231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46231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46231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46231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46231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46231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46231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46231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46231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46231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46231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46231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46231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46231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46231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46231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46231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46231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46231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46231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46231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46231</v>
      </c>
      <c r="F57" t="inlineStr">
        <is>
          <t>VÄSTRA GÖTALANDS LÄN</t>
        </is>
      </c>
      <c r="G57" t="inlineStr">
        <is>
          <t>LILLA EDET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46231</v>
      </c>
      <c r="F58" t="inlineStr">
        <is>
          <t>VÄSTRA GÖTALANDS LÄN</t>
        </is>
      </c>
      <c r="G58" t="inlineStr">
        <is>
          <t>LILLA EDET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46231</v>
      </c>
      <c r="F59" t="inlineStr">
        <is>
          <t>VÄSTRA GÖTALANDS LÄN</t>
        </is>
      </c>
      <c r="G59" t="inlineStr">
        <is>
          <t>LILLA EDET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51488-2022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46231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45480</v>
      </c>
      <c r="E61" s="1" t="n">
        <v>46231</v>
      </c>
      <c r="F61" t="inlineStr">
        <is>
          <t>VÄSTRA GÖTALANDS LÄN</t>
        </is>
      </c>
      <c r="G61" t="inlineStr">
        <is>
          <t>LILLA EDET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46231</v>
      </c>
      <c r="F62" t="inlineStr">
        <is>
          <t>VÄSTRA GÖTALANDS LÄN</t>
        </is>
      </c>
      <c r="G62" t="inlineStr">
        <is>
          <t>LILLA EDET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46231</v>
      </c>
      <c r="F63" t="inlineStr">
        <is>
          <t>VÄSTRA GÖTALANDS LÄN</t>
        </is>
      </c>
      <c r="G63" t="inlineStr">
        <is>
          <t>LILLA EDET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44662</v>
      </c>
      <c r="E64" s="1" t="n">
        <v>46231</v>
      </c>
      <c r="F64" t="inlineStr">
        <is>
          <t>VÄSTRA GÖTALANDS LÄN</t>
        </is>
      </c>
      <c r="G64" t="inlineStr">
        <is>
          <t>LILLA EDET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45694</v>
      </c>
      <c r="E65" s="1" t="n">
        <v>46231</v>
      </c>
      <c r="F65" t="inlineStr">
        <is>
          <t>VÄSTRA GÖTALANDS LÄN</t>
        </is>
      </c>
      <c r="G65" t="inlineStr">
        <is>
          <t>LILLA EDET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46231</v>
      </c>
      <c r="F66" t="inlineStr">
        <is>
          <t>VÄSTRA GÖTALANDS LÄN</t>
        </is>
      </c>
      <c r="G66" t="inlineStr">
        <is>
          <t>LILLA EDET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46231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2226-2026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46036</v>
      </c>
      <c r="E68" s="1" t="n">
        <v>46231</v>
      </c>
      <c r="F68" t="inlineStr">
        <is>
          <t>VÄSTRA GÖTALANDS LÄN</t>
        </is>
      </c>
      <c r="G68" t="inlineStr">
        <is>
          <t>LILLA EDET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45539</v>
      </c>
      <c r="E69" s="1" t="n">
        <v>46231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46036</v>
      </c>
      <c r="E70" s="1" t="n">
        <v>46231</v>
      </c>
      <c r="F70" t="inlineStr">
        <is>
          <t>VÄSTRA GÖTALANDS LÄN</t>
        </is>
      </c>
      <c r="G70" t="inlineStr">
        <is>
          <t>LILLA EDET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27222-2025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46231</v>
      </c>
      <c r="F71" t="inlineStr">
        <is>
          <t>VÄSTRA GÖTALANDS LÄN</t>
        </is>
      </c>
      <c r="G71" t="inlineStr">
        <is>
          <t>LILLA EDET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45664</v>
      </c>
      <c r="E72" s="1" t="n">
        <v>46231</v>
      </c>
      <c r="F72" t="inlineStr">
        <is>
          <t>VÄSTRA GÖTALANDS LÄN</t>
        </is>
      </c>
      <c r="G72" t="inlineStr">
        <is>
          <t>LILLA EDET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45677</v>
      </c>
      <c r="E73" s="1" t="n">
        <v>46231</v>
      </c>
      <c r="F73" t="inlineStr">
        <is>
          <t>VÄSTRA GÖTALANDS LÄN</t>
        </is>
      </c>
      <c r="G73" t="inlineStr">
        <is>
          <t>LILLA EDET</t>
        </is>
      </c>
      <c r="I73" t="n">
        <v>10.7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46231</v>
      </c>
      <c r="F74" t="inlineStr">
        <is>
          <t>VÄSTRA GÖTALANDS LÄN</t>
        </is>
      </c>
      <c r="G74" t="inlineStr">
        <is>
          <t>LILLA EDET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46231</v>
      </c>
      <c r="F75" t="inlineStr">
        <is>
          <t>VÄSTRA GÖTALANDS LÄN</t>
        </is>
      </c>
      <c r="G75" t="inlineStr">
        <is>
          <t>LILLA EDET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44960</v>
      </c>
      <c r="E76" s="1" t="n">
        <v>46231</v>
      </c>
      <c r="F76" t="inlineStr">
        <is>
          <t>VÄSTRA GÖTALANDS LÄN</t>
        </is>
      </c>
      <c r="G76" t="inlineStr">
        <is>
          <t>LILLA EDET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54804-2022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46231</v>
      </c>
      <c r="F77" t="inlineStr">
        <is>
          <t>VÄSTRA GÖTALANDS LÄN</t>
        </is>
      </c>
      <c r="G77" t="inlineStr">
        <is>
          <t>LILLA EDET</t>
        </is>
      </c>
      <c r="I77" t="n">
        <v>22.6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45855</v>
      </c>
      <c r="E78" s="1" t="n">
        <v>46231</v>
      </c>
      <c r="F78" t="inlineStr">
        <is>
          <t>VÄSTRA GÖTALANDS LÄN</t>
        </is>
      </c>
      <c r="G78" t="inlineStr">
        <is>
          <t>LILLA EDET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46231</v>
      </c>
      <c r="F79" t="inlineStr">
        <is>
          <t>VÄSTRA GÖTALANDS LÄN</t>
        </is>
      </c>
      <c r="G79" t="inlineStr">
        <is>
          <t>LILLA EDET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46231</v>
      </c>
      <c r="F80" t="inlineStr">
        <is>
          <t>VÄSTRA GÖTALANDS LÄN</t>
        </is>
      </c>
      <c r="G80" t="inlineStr">
        <is>
          <t>LILLA EDET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45855</v>
      </c>
      <c r="E81" s="1" t="n">
        <v>46231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45860</v>
      </c>
      <c r="E82" s="1" t="n">
        <v>46231</v>
      </c>
      <c r="F82" t="inlineStr">
        <is>
          <t>VÄSTRA GÖTALANDS LÄN</t>
        </is>
      </c>
      <c r="G82" t="inlineStr">
        <is>
          <t>LILLA EDET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46231</v>
      </c>
      <c r="F83" t="inlineStr">
        <is>
          <t>VÄSTRA GÖTALANDS LÄN</t>
        </is>
      </c>
      <c r="G83" t="inlineStr">
        <is>
          <t>LILLA EDET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46231</v>
      </c>
      <c r="F84" t="inlineStr">
        <is>
          <t>VÄSTRA GÖTALANDS LÄN</t>
        </is>
      </c>
      <c r="G84" t="inlineStr">
        <is>
          <t>LILLA EDET</t>
        </is>
      </c>
      <c r="H84" t="inlineStr">
        <is>
          <t>Kyrkan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45600</v>
      </c>
      <c r="E85" s="1" t="n">
        <v>46231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46231</v>
      </c>
      <c r="F86" t="inlineStr">
        <is>
          <t>VÄSTRA GÖTALANDS LÄN</t>
        </is>
      </c>
      <c r="G86" t="inlineStr">
        <is>
          <t>LILLA EDET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28903-2024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45480</v>
      </c>
      <c r="E87" s="1" t="n">
        <v>46231</v>
      </c>
      <c r="F87" t="inlineStr">
        <is>
          <t>VÄSTRA GÖTALANDS LÄN</t>
        </is>
      </c>
      <c r="G87" t="inlineStr">
        <is>
          <t>LILLA EDET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46231</v>
      </c>
      <c r="F88" t="inlineStr">
        <is>
          <t>VÄSTRA GÖTALANDS LÄN</t>
        </is>
      </c>
      <c r="G88" t="inlineStr">
        <is>
          <t>LILLA EDET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46231</v>
      </c>
      <c r="F89" t="inlineStr">
        <is>
          <t>VÄSTRA GÖTALANDS LÄN</t>
        </is>
      </c>
      <c r="G89" t="inlineStr">
        <is>
          <t>LILLA EDET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45902</v>
      </c>
      <c r="E90" s="1" t="n">
        <v>46231</v>
      </c>
      <c r="F90" t="inlineStr">
        <is>
          <t>VÄSTRA GÖTALANDS LÄN</t>
        </is>
      </c>
      <c r="G90" t="inlineStr">
        <is>
          <t>LILLA EDET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46231</v>
      </c>
      <c r="F91" t="inlineStr">
        <is>
          <t>VÄSTRA GÖTALANDS LÄN</t>
        </is>
      </c>
      <c r="G91" t="inlineStr">
        <is>
          <t>LILLA EDET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46231</v>
      </c>
      <c r="F92" t="inlineStr">
        <is>
          <t>VÄSTRA GÖTALANDS LÄN</t>
        </is>
      </c>
      <c r="G92" t="inlineStr">
        <is>
          <t>LILLA EDET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17377-2026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46231</v>
      </c>
      <c r="F93" t="inlineStr">
        <is>
          <t>VÄSTRA GÖTALANDS LÄN</t>
        </is>
      </c>
      <c r="G93" t="inlineStr">
        <is>
          <t>LILLA EDET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46231</v>
      </c>
      <c r="F94" t="inlineStr">
        <is>
          <t>VÄSTRA GÖTALANDS LÄN</t>
        </is>
      </c>
      <c r="G94" t="inlineStr">
        <is>
          <t>LILLA EDET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42857-2025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46231</v>
      </c>
      <c r="F95" t="inlineStr">
        <is>
          <t>VÄSTRA GÖTALANDS LÄN</t>
        </is>
      </c>
      <c r="G95" t="inlineStr">
        <is>
          <t>LILLA EDET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46231</v>
      </c>
      <c r="F96" t="inlineStr">
        <is>
          <t>VÄSTRA GÖTALANDS LÄN</t>
        </is>
      </c>
      <c r="G96" t="inlineStr">
        <is>
          <t>LILLA EDET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18841-2026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46129</v>
      </c>
      <c r="E97" s="1" t="n">
        <v>46231</v>
      </c>
      <c r="F97" t="inlineStr">
        <is>
          <t>VÄSTRA GÖTALANDS LÄN</t>
        </is>
      </c>
      <c r="G97" t="inlineStr">
        <is>
          <t>LILLA EDET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46231</v>
      </c>
      <c r="F98" t="inlineStr">
        <is>
          <t>VÄSTRA GÖTALANDS LÄN</t>
        </is>
      </c>
      <c r="G98" t="inlineStr">
        <is>
          <t>LILLA EDET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46231</v>
      </c>
      <c r="F99" t="inlineStr">
        <is>
          <t>VÄSTRA GÖTALANDS LÄN</t>
        </is>
      </c>
      <c r="G99" t="inlineStr">
        <is>
          <t>LILLA EDET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46231</v>
      </c>
      <c r="F100" t="inlineStr">
        <is>
          <t>VÄSTRA GÖTALANDS LÄN</t>
        </is>
      </c>
      <c r="G100" t="inlineStr">
        <is>
          <t>LILLA EDET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46231</v>
      </c>
      <c r="F101" t="inlineStr">
        <is>
          <t>VÄSTRA GÖTALANDS LÄN</t>
        </is>
      </c>
      <c r="G101" t="inlineStr">
        <is>
          <t>LILLA EDET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46231</v>
      </c>
      <c r="F102" t="inlineStr">
        <is>
          <t>VÄSTRA GÖTALANDS LÄN</t>
        </is>
      </c>
      <c r="G102" t="inlineStr">
        <is>
          <t>LILLA EDET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44916-2025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46231</v>
      </c>
      <c r="F103" t="inlineStr">
        <is>
          <t>VÄSTRA GÖTALANDS LÄN</t>
        </is>
      </c>
      <c r="G103" t="inlineStr">
        <is>
          <t>LILLA EDET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45766</v>
      </c>
      <c r="E104" s="1" t="n">
        <v>46231</v>
      </c>
      <c r="F104" t="inlineStr">
        <is>
          <t>VÄSTRA GÖTALANDS LÄN</t>
        </is>
      </c>
      <c r="G104" t="inlineStr">
        <is>
          <t>LILLA EDET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46231</v>
      </c>
      <c r="F105" t="inlineStr">
        <is>
          <t>VÄSTRA GÖTALANDS LÄN</t>
        </is>
      </c>
      <c r="G105" t="inlineStr">
        <is>
          <t>LILLA EDET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46231</v>
      </c>
      <c r="F106" t="inlineStr">
        <is>
          <t>VÄSTRA GÖTALANDS LÄN</t>
        </is>
      </c>
      <c r="G106" t="inlineStr">
        <is>
          <t>LILLA EDET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46231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46231</v>
      </c>
      <c r="F108" t="inlineStr">
        <is>
          <t>VÄSTRA GÖTALANDS LÄN</t>
        </is>
      </c>
      <c r="G108" t="inlineStr">
        <is>
          <t>LILLA EDET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46231</v>
      </c>
      <c r="F109" t="inlineStr">
        <is>
          <t>VÄSTRA GÖTALANDS LÄN</t>
        </is>
      </c>
      <c r="G109" t="inlineStr">
        <is>
          <t>LILLA EDET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46231</v>
      </c>
      <c r="F110" t="inlineStr">
        <is>
          <t>VÄSTRA GÖTALANDS LÄN</t>
        </is>
      </c>
      <c r="G110" t="inlineStr">
        <is>
          <t>LILLA EDET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46231</v>
      </c>
      <c r="F111" t="inlineStr">
        <is>
          <t>VÄSTRA GÖTALANDS LÄN</t>
        </is>
      </c>
      <c r="G111" t="inlineStr">
        <is>
          <t>LILLA EDET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46231</v>
      </c>
      <c r="F112" t="inlineStr">
        <is>
          <t>VÄSTRA GÖTALANDS LÄN</t>
        </is>
      </c>
      <c r="G112" t="inlineStr">
        <is>
          <t>LILLA EDET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46231</v>
      </c>
      <c r="F113" t="inlineStr">
        <is>
          <t>VÄSTRA GÖTALANDS LÄN</t>
        </is>
      </c>
      <c r="G113" t="inlineStr">
        <is>
          <t>LILLA EDET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46190</v>
      </c>
      <c r="E114" s="1" t="n">
        <v>46231</v>
      </c>
      <c r="F114" t="inlineStr">
        <is>
          <t>VÄSTRA GÖTALANDS LÄN</t>
        </is>
      </c>
      <c r="G114" t="inlineStr">
        <is>
          <t>LILLA EDET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26443-2023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45092</v>
      </c>
      <c r="E115" s="1" t="n">
        <v>46231</v>
      </c>
      <c r="F115" t="inlineStr">
        <is>
          <t>VÄSTRA GÖTALANDS LÄN</t>
        </is>
      </c>
      <c r="G115" t="inlineStr">
        <is>
          <t>LILLA EDET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17114-2023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45034</v>
      </c>
      <c r="E116" s="1" t="n">
        <v>46231</v>
      </c>
      <c r="F116" t="inlineStr">
        <is>
          <t>VÄSTRA GÖTALANDS LÄN</t>
        </is>
      </c>
      <c r="G116" t="inlineStr">
        <is>
          <t>LILLA EDET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58750-2021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44489</v>
      </c>
      <c r="E117" s="1" t="n">
        <v>46231</v>
      </c>
      <c r="F117" t="inlineStr">
        <is>
          <t>VÄSTRA GÖTALANDS LÄN</t>
        </is>
      </c>
      <c r="G117" t="inlineStr">
        <is>
          <t>LILLA EDET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46231</v>
      </c>
      <c r="F118" t="inlineStr">
        <is>
          <t>VÄSTRA GÖTALANDS LÄN</t>
        </is>
      </c>
      <c r="G118" t="inlineStr">
        <is>
          <t>LILLA EDET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45936</v>
      </c>
      <c r="E119" s="1" t="n">
        <v>46231</v>
      </c>
      <c r="F119" t="inlineStr">
        <is>
          <t>VÄSTRA GÖTALANDS LÄN</t>
        </is>
      </c>
      <c r="G119" t="inlineStr">
        <is>
          <t>LILLA EDET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46231</v>
      </c>
      <c r="F120" t="inlineStr">
        <is>
          <t>VÄSTRA GÖTALANDS LÄN</t>
        </is>
      </c>
      <c r="G120" t="inlineStr">
        <is>
          <t>LILLA EDET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46231</v>
      </c>
      <c r="F121" t="inlineStr">
        <is>
          <t>VÄSTRA GÖTALANDS LÄN</t>
        </is>
      </c>
      <c r="G121" t="inlineStr">
        <is>
          <t>LILLA EDET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49188-2025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46231</v>
      </c>
      <c r="F122" t="inlineStr">
        <is>
          <t>VÄSTRA GÖTALANDS LÄN</t>
        </is>
      </c>
      <c r="G122" t="inlineStr">
        <is>
          <t>LILLA EDET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45006</v>
      </c>
      <c r="E123" s="1" t="n">
        <v>46231</v>
      </c>
      <c r="F123" t="inlineStr">
        <is>
          <t>VÄSTRA GÖTALANDS LÄN</t>
        </is>
      </c>
      <c r="G123" t="inlineStr">
        <is>
          <t>LILLA EDET</t>
        </is>
      </c>
      <c r="H123" t="inlineStr">
        <is>
          <t>Kommuner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54681-2021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44473</v>
      </c>
      <c r="E124" s="1" t="n">
        <v>46231</v>
      </c>
      <c r="F124" t="inlineStr">
        <is>
          <t>VÄSTRA GÖTALANDS LÄN</t>
        </is>
      </c>
      <c r="G124" t="inlineStr">
        <is>
          <t>LILLA EDET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45587</v>
      </c>
      <c r="E125" s="1" t="n">
        <v>46231</v>
      </c>
      <c r="F125" t="inlineStr">
        <is>
          <t>VÄSTRA GÖTALANDS LÄN</t>
        </is>
      </c>
      <c r="G125" t="inlineStr">
        <is>
          <t>LILLA EDET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45187</v>
      </c>
      <c r="E126" s="1" t="n">
        <v>46231</v>
      </c>
      <c r="F126" t="inlineStr">
        <is>
          <t>VÄSTRA GÖTALANDS LÄN</t>
        </is>
      </c>
      <c r="G126" t="inlineStr">
        <is>
          <t>LILLA EDET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46231</v>
      </c>
      <c r="F127" t="inlineStr">
        <is>
          <t>VÄSTRA GÖTALANDS LÄN</t>
        </is>
      </c>
      <c r="G127" t="inlineStr">
        <is>
          <t>LILLA EDET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23541-2026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46163</v>
      </c>
      <c r="E128" s="1" t="n">
        <v>46231</v>
      </c>
      <c r="F128" t="inlineStr">
        <is>
          <t>VÄSTRA GÖTALANDS LÄN</t>
        </is>
      </c>
      <c r="G128" t="inlineStr">
        <is>
          <t>LILLA EDET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46210</v>
      </c>
      <c r="E129" s="1" t="n">
        <v>46231</v>
      </c>
      <c r="F129" t="inlineStr">
        <is>
          <t>VÄSTRA GÖTALANDS LÄN</t>
        </is>
      </c>
      <c r="G129" t="inlineStr">
        <is>
          <t>LILLA EDET</t>
        </is>
      </c>
      <c r="I129" t="n">
        <v>10.5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44615</v>
      </c>
      <c r="E130" s="1" t="n">
        <v>46231</v>
      </c>
      <c r="F130" t="inlineStr">
        <is>
          <t>VÄSTRA GÖTALANDS LÄN</t>
        </is>
      </c>
      <c r="G130" t="inlineStr">
        <is>
          <t>LILLA EDET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46231</v>
      </c>
      <c r="F131" t="inlineStr">
        <is>
          <t>VÄSTRA GÖTALANDS LÄN</t>
        </is>
      </c>
      <c r="G131" t="inlineStr">
        <is>
          <t>LILLA EDET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46231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45646</v>
      </c>
      <c r="E133" s="1" t="n">
        <v>46231</v>
      </c>
      <c r="F133" t="inlineStr">
        <is>
          <t>VÄSTRA GÖTALANDS LÄN</t>
        </is>
      </c>
      <c r="G133" t="inlineStr">
        <is>
          <t>LILLA EDET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45971</v>
      </c>
      <c r="E134" s="1" t="n">
        <v>46231</v>
      </c>
      <c r="F134" t="inlineStr">
        <is>
          <t>VÄSTRA GÖTALANDS LÄN</t>
        </is>
      </c>
      <c r="G134" t="inlineStr">
        <is>
          <t>LILLA EDET</t>
        </is>
      </c>
      <c r="H134" t="inlineStr">
        <is>
          <t>Sveaskog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45398</v>
      </c>
      <c r="E135" s="1" t="n">
        <v>46231</v>
      </c>
      <c r="F135" t="inlineStr">
        <is>
          <t>VÄSTRA GÖTALANDS LÄN</t>
        </is>
      </c>
      <c r="G135" t="inlineStr">
        <is>
          <t>LILLA EDET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46231</v>
      </c>
      <c r="F136" t="inlineStr">
        <is>
          <t>VÄSTRA GÖTALANDS LÄN</t>
        </is>
      </c>
      <c r="G136" t="inlineStr">
        <is>
          <t>LILLA EDET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46231</v>
      </c>
      <c r="F137" t="inlineStr">
        <is>
          <t>VÄSTRA GÖTALANDS LÄN</t>
        </is>
      </c>
      <c r="G137" t="inlineStr">
        <is>
          <t>LILLA EDET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46231</v>
      </c>
      <c r="F138" t="inlineStr">
        <is>
          <t>VÄSTRA GÖTALANDS LÄN</t>
        </is>
      </c>
      <c r="G138" t="inlineStr">
        <is>
          <t>LILLA EDET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45134</v>
      </c>
      <c r="E139" s="1" t="n">
        <v>46231</v>
      </c>
      <c r="F139" t="inlineStr">
        <is>
          <t>VÄSTRA GÖTALANDS LÄN</t>
        </is>
      </c>
      <c r="G139" t="inlineStr">
        <is>
          <t>LILLA EDET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46231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46231</v>
      </c>
      <c r="F141" t="inlineStr">
        <is>
          <t>VÄSTRA GÖTALANDS LÄN</t>
        </is>
      </c>
      <c r="G141" t="inlineStr">
        <is>
          <t>LILLA EDET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46231</v>
      </c>
      <c r="F142" t="inlineStr">
        <is>
          <t>VÄSTRA GÖTALANDS LÄN</t>
        </is>
      </c>
      <c r="G142" t="inlineStr">
        <is>
          <t>LILLA EDET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45158</v>
      </c>
      <c r="E143" s="1" t="n">
        <v>46231</v>
      </c>
      <c r="F143" t="inlineStr">
        <is>
          <t>VÄSTRA GÖTALANDS LÄN</t>
        </is>
      </c>
      <c r="G143" t="inlineStr">
        <is>
          <t>LILLA EDET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45158</v>
      </c>
      <c r="E144" s="1" t="n">
        <v>46231</v>
      </c>
      <c r="F144" t="inlineStr">
        <is>
          <t>VÄSTRA GÖTALANDS LÄN</t>
        </is>
      </c>
      <c r="G144" t="inlineStr">
        <is>
          <t>LILLA EDET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46231</v>
      </c>
      <c r="F145" t="inlineStr">
        <is>
          <t>VÄSTRA GÖTALANDS LÄN</t>
        </is>
      </c>
      <c r="G145" t="inlineStr">
        <is>
          <t>LILLA EDET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44811</v>
      </c>
      <c r="E146" s="1" t="n">
        <v>46231</v>
      </c>
      <c r="F146" t="inlineStr">
        <is>
          <t>VÄSTRA GÖTALANDS LÄN</t>
        </is>
      </c>
      <c r="G146" t="inlineStr">
        <is>
          <t>LILLA EDET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44671</v>
      </c>
      <c r="E147" s="1" t="n">
        <v>46231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45554</v>
      </c>
      <c r="E148" s="1" t="n">
        <v>46231</v>
      </c>
      <c r="F148" t="inlineStr">
        <is>
          <t>VÄSTRA GÖTALANDS LÄN</t>
        </is>
      </c>
      <c r="G148" t="inlineStr">
        <is>
          <t>LILLA EDET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46231</v>
      </c>
      <c r="F149" t="inlineStr">
        <is>
          <t>VÄSTRA GÖTALANDS LÄN</t>
        </is>
      </c>
      <c r="G149" t="inlineStr">
        <is>
          <t>LILLA EDET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46231</v>
      </c>
      <c r="F150" t="inlineStr">
        <is>
          <t>VÄSTRA GÖTALANDS LÄN</t>
        </is>
      </c>
      <c r="G150" t="inlineStr">
        <is>
          <t>LILLA EDET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46231</v>
      </c>
      <c r="F151" t="inlineStr">
        <is>
          <t>VÄSTRA GÖTALANDS LÄN</t>
        </is>
      </c>
      <c r="G151" t="inlineStr">
        <is>
          <t>LILLA EDET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46231</v>
      </c>
      <c r="F152" t="inlineStr">
        <is>
          <t>VÄSTRA GÖTALANDS LÄN</t>
        </is>
      </c>
      <c r="G152" t="inlineStr">
        <is>
          <t>LILLA EDET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46231</v>
      </c>
      <c r="F153" t="inlineStr">
        <is>
          <t>VÄSTRA GÖTALANDS LÄN</t>
        </is>
      </c>
      <c r="G153" t="inlineStr">
        <is>
          <t>LILLA EDET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45295</v>
      </c>
      <c r="E154" s="1" t="n">
        <v>46231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46231</v>
      </c>
      <c r="F155" t="inlineStr">
        <is>
          <t>VÄSTRA GÖTALANDS LÄN</t>
        </is>
      </c>
      <c r="G155" t="inlineStr">
        <is>
          <t>LILLA EDET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46231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46231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46231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46231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46231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46231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46231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46231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46231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46231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46231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46231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46231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46231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46231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46231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46231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46231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46231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46231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46231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46231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46231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46231</v>
      </c>
      <c r="F179" t="inlineStr">
        <is>
          <t>VÄSTRA GÖTALANDS LÄN</t>
        </is>
      </c>
      <c r="G179" t="inlineStr">
        <is>
          <t>LILLA EDET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46231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2026-07-28T01:51:27Z</dcterms:created>
  <dcterms:modified xmlns:dcterms="http://purl.org/dc/terms/" xmlns:xsi="http://www.w3.org/2001/XMLSchema-instance" xsi:type="dcterms:W3CDTF">2026-07-28T01:51:27Z</dcterms:modified>
</cp:coreProperties>
</file>