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46012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46012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46012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46012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46012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46012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46012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46012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46012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46012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58567-2025</t>
        </is>
      </c>
      <c r="B12" s="1" t="n">
        <v>45986.36528935185</v>
      </c>
      <c r="C12" s="1" t="n">
        <v>46012</v>
      </c>
      <c r="D12" t="inlineStr">
        <is>
          <t>VÄSTRA GÖTALANDS LÄN</t>
        </is>
      </c>
      <c r="E12" t="inlineStr">
        <is>
          <t>LILLA EDET</t>
        </is>
      </c>
      <c r="G12" t="n">
        <v>17.9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HYPERLINK("https://klasma.github.io/Logging_1462/artfynd/A 58567-2025 artfynd.xlsx", "A 58567-2025")</f>
        <v/>
      </c>
      <c r="T12">
        <f>HYPERLINK("https://klasma.github.io/Logging_1462/kartor/A 58567-2025 karta.png", "A 58567-2025")</f>
        <v/>
      </c>
      <c r="V12">
        <f>HYPERLINK("https://klasma.github.io/Logging_1462/klagomål/A 58567-2025 FSC-klagomål.docx", "A 58567-2025")</f>
        <v/>
      </c>
      <c r="W12">
        <f>HYPERLINK("https://klasma.github.io/Logging_1462/klagomålsmail/A 58567-2025 FSC-klagomål mail.docx", "A 58567-2025")</f>
        <v/>
      </c>
      <c r="X12">
        <f>HYPERLINK("https://klasma.github.io/Logging_1462/tillsyn/A 58567-2025 tillsynsbegäran.docx", "A 58567-2025")</f>
        <v/>
      </c>
      <c r="Y12">
        <f>HYPERLINK("https://klasma.github.io/Logging_1462/tillsynsmail/A 58567-2025 tillsynsbegäran mail.docx", "A 58567-2025")</f>
        <v/>
      </c>
      <c r="Z12">
        <f>HYPERLINK("https://klasma.github.io/Logging_1462/fåglar/A 58567-2025 prioriterade fågelarter.docx", "A 58567-2025")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46012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46012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46012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46012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46012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46012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46012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46012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46012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46012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46012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46012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46012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46012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46012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46012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46012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46012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46012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46012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46012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46012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46012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46012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46012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46012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46012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46012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46012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46012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46012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46012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46012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46012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46012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46012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46012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46012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46012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46012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46012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46012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46012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46012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46012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46012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46012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46012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46012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46012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46012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46012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46012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24053-2025</t>
        </is>
      </c>
      <c r="B66" s="1" t="n">
        <v>45796</v>
      </c>
      <c r="C66" s="1" t="n">
        <v>46012</v>
      </c>
      <c r="D66" t="inlineStr">
        <is>
          <t>VÄSTRA GÖTALANDS LÄN</t>
        </is>
      </c>
      <c r="E66" t="inlineStr">
        <is>
          <t>LILLA EDET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46012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61952-2024</t>
        </is>
      </c>
      <c r="B68" s="1" t="n">
        <v>45653.50980324074</v>
      </c>
      <c r="C68" s="1" t="n">
        <v>46012</v>
      </c>
      <c r="D68" t="inlineStr">
        <is>
          <t>VÄSTRA GÖTALANDS LÄN</t>
        </is>
      </c>
      <c r="E68" t="inlineStr">
        <is>
          <t>LILLA EDET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33993-2023</t>
        </is>
      </c>
      <c r="B69" s="1" t="n">
        <v>45134.92311342592</v>
      </c>
      <c r="C69" s="1" t="n">
        <v>46012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33996-2023</t>
        </is>
      </c>
      <c r="B70" s="1" t="n">
        <v>45134.92869212963</v>
      </c>
      <c r="C70" s="1" t="n">
        <v>46012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46012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5743-2025</t>
        </is>
      </c>
      <c r="B72" s="1" t="n">
        <v>45694.52391203704</v>
      </c>
      <c r="C72" s="1" t="n">
        <v>46012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46012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46012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51488-2022</t>
        </is>
      </c>
      <c r="B75" s="1" t="n">
        <v>44869</v>
      </c>
      <c r="C75" s="1" t="n">
        <v>46012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2867-2025</t>
        </is>
      </c>
      <c r="B76" s="1" t="n">
        <v>45677.67715277777</v>
      </c>
      <c r="C76" s="1" t="n">
        <v>46012</v>
      </c>
      <c r="D76" t="inlineStr">
        <is>
          <t>VÄSTRA GÖTALANDS LÄN</t>
        </is>
      </c>
      <c r="E76" t="inlineStr">
        <is>
          <t>LILLA EDET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28910-2024</t>
        </is>
      </c>
      <c r="B77" s="1" t="n">
        <v>45480.65789351852</v>
      </c>
      <c r="C77" s="1" t="n">
        <v>46012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46012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11604-2024</t>
        </is>
      </c>
      <c r="B79" s="1" t="n">
        <v>45373.39337962963</v>
      </c>
      <c r="C79" s="1" t="n">
        <v>46012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46012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1382-2024</t>
        </is>
      </c>
      <c r="B81" s="1" t="n">
        <v>45303.56011574074</v>
      </c>
      <c r="C81" s="1" t="n">
        <v>46012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45694.5205324074</v>
      </c>
      <c r="C82" s="1" t="n">
        <v>46012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46012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46012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587-2025</t>
        </is>
      </c>
      <c r="B85" s="1" t="n">
        <v>45664.58135416666</v>
      </c>
      <c r="C85" s="1" t="n">
        <v>46012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27222-2025</t>
        </is>
      </c>
      <c r="B86" s="1" t="n">
        <v>45812.42443287037</v>
      </c>
      <c r="C86" s="1" t="n">
        <v>46012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46012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46012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46012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46012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46012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7912-2024</t>
        </is>
      </c>
      <c r="B92" s="1" t="n">
        <v>45350</v>
      </c>
      <c r="C92" s="1" t="n">
        <v>46012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46012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28515-2025</t>
        </is>
      </c>
      <c r="B94" s="1" t="n">
        <v>45819.48321759259</v>
      </c>
      <c r="C94" s="1" t="n">
        <v>46012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6323-2023</t>
        </is>
      </c>
      <c r="B95" s="1" t="n">
        <v>44960</v>
      </c>
      <c r="C95" s="1" t="n">
        <v>46012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46012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46012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46012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46012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46012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8117-2023</t>
        </is>
      </c>
      <c r="B101" s="1" t="n">
        <v>44974</v>
      </c>
      <c r="C101" s="1" t="n">
        <v>46012</v>
      </c>
      <c r="D101" t="inlineStr">
        <is>
          <t>VÄSTRA GÖTALANDS LÄN</t>
        </is>
      </c>
      <c r="E101" t="inlineStr">
        <is>
          <t>LILLA EDET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46012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44914-2025</t>
        </is>
      </c>
      <c r="B103" s="1" t="n">
        <v>45918.54420138889</v>
      </c>
      <c r="C103" s="1" t="n">
        <v>46012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46012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44918-2025</t>
        </is>
      </c>
      <c r="B105" s="1" t="n">
        <v>45918.5504050926</v>
      </c>
      <c r="C105" s="1" t="n">
        <v>46012</v>
      </c>
      <c r="D105" t="inlineStr">
        <is>
          <t>VÄSTRA GÖTALANDS LÄN</t>
        </is>
      </c>
      <c r="E105" t="inlineStr">
        <is>
          <t>LILLA EDET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46012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12628-2023</t>
        </is>
      </c>
      <c r="B107" s="1" t="n">
        <v>45000</v>
      </c>
      <c r="C107" s="1" t="n">
        <v>46012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50349-2024</t>
        </is>
      </c>
      <c r="B108" s="1" t="n">
        <v>45600.81916666667</v>
      </c>
      <c r="C108" s="1" t="n">
        <v>46012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55324-2025</t>
        </is>
      </c>
      <c r="B109" s="1" t="n">
        <v>45971.33519675926</v>
      </c>
      <c r="C109" s="1" t="n">
        <v>46012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46012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46012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35717-2025</t>
        </is>
      </c>
      <c r="B112" s="1" t="n">
        <v>45860.42960648148</v>
      </c>
      <c r="C112" s="1" t="n">
        <v>46012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28903-2024</t>
        </is>
      </c>
      <c r="B113" s="1" t="n">
        <v>45480.54913194444</v>
      </c>
      <c r="C113" s="1" t="n">
        <v>46012</v>
      </c>
      <c r="D113" t="inlineStr">
        <is>
          <t>VÄSTRA GÖTALANDS LÄN</t>
        </is>
      </c>
      <c r="E113" t="inlineStr">
        <is>
          <t>LILLA EDET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23497-2023</t>
        </is>
      </c>
      <c r="B114" s="1" t="n">
        <v>45072</v>
      </c>
      <c r="C114" s="1" t="n">
        <v>46012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46012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56855-2025</t>
        </is>
      </c>
      <c r="B116" s="1" t="n">
        <v>45978.4962962963</v>
      </c>
      <c r="C116" s="1" t="n">
        <v>46012</v>
      </c>
      <c r="D116" t="inlineStr">
        <is>
          <t>VÄSTRA GÖTALANDS LÄN</t>
        </is>
      </c>
      <c r="E116" t="inlineStr">
        <is>
          <t>LILLA EDET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46012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46012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46012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56854-2025</t>
        </is>
      </c>
      <c r="B120" s="1" t="n">
        <v>45978.49476851852</v>
      </c>
      <c r="C120" s="1" t="n">
        <v>46012</v>
      </c>
      <c r="D120" t="inlineStr">
        <is>
          <t>VÄSTRA GÖTALANDS LÄN</t>
        </is>
      </c>
      <c r="E120" t="inlineStr">
        <is>
          <t>LILLA EDET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37190-2025</t>
        </is>
      </c>
      <c r="B121" s="1" t="n">
        <v>45875.64939814815</v>
      </c>
      <c r="C121" s="1" t="n">
        <v>46012</v>
      </c>
      <c r="D121" t="inlineStr">
        <is>
          <t>VÄSTRA GÖTALANDS LÄN</t>
        </is>
      </c>
      <c r="E121" t="inlineStr">
        <is>
          <t>LILLA EDET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46012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5328-2025</t>
        </is>
      </c>
      <c r="B123" s="1" t="n">
        <v>45692.53454861111</v>
      </c>
      <c r="C123" s="1" t="n">
        <v>46012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37510-2023</t>
        </is>
      </c>
      <c r="B124" s="1" t="n">
        <v>45158</v>
      </c>
      <c r="C124" s="1" t="n">
        <v>46012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49188-2025</t>
        </is>
      </c>
      <c r="B125" s="1" t="n">
        <v>45938.40711805555</v>
      </c>
      <c r="C125" s="1" t="n">
        <v>46012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46012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46012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58568-2025</t>
        </is>
      </c>
      <c r="B128" s="1" t="n">
        <v>45986.36644675926</v>
      </c>
      <c r="C128" s="1" t="n">
        <v>46012</v>
      </c>
      <c r="D128" t="inlineStr">
        <is>
          <t>VÄSTRA GÖTALANDS LÄN</t>
        </is>
      </c>
      <c r="E128" t="inlineStr">
        <is>
          <t>LILLA EDET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56584-2025</t>
        </is>
      </c>
      <c r="B129" s="1" t="n">
        <v>45974</v>
      </c>
      <c r="C129" s="1" t="n">
        <v>46012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35718-2025</t>
        </is>
      </c>
      <c r="B130" s="1" t="n">
        <v>45860.4315162037</v>
      </c>
      <c r="C130" s="1" t="n">
        <v>46012</v>
      </c>
      <c r="D130" t="inlineStr">
        <is>
          <t>VÄSTRA GÖTALANDS LÄN</t>
        </is>
      </c>
      <c r="E130" t="inlineStr">
        <is>
          <t>LILLA EDET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23559-2023</t>
        </is>
      </c>
      <c r="B131" s="1" t="n">
        <v>45072</v>
      </c>
      <c r="C131" s="1" t="n">
        <v>46012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61475-2025</t>
        </is>
      </c>
      <c r="B132" s="1" t="n">
        <v>46001.61959490741</v>
      </c>
      <c r="C132" s="1" t="n">
        <v>46012</v>
      </c>
      <c r="D132" t="inlineStr">
        <is>
          <t>VÄSTRA GÖTALANDS LÄN</t>
        </is>
      </c>
      <c r="E132" t="inlineStr">
        <is>
          <t>LILLA EDET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46012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46012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46012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46012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46012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17114-2023</t>
        </is>
      </c>
      <c r="B138" s="1" t="n">
        <v>45034.58234953704</v>
      </c>
      <c r="C138" s="1" t="n">
        <v>46012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58750-2021</t>
        </is>
      </c>
      <c r="B139" s="1" t="n">
        <v>44489</v>
      </c>
      <c r="C139" s="1" t="n">
        <v>46012</v>
      </c>
      <c r="D139" t="inlineStr">
        <is>
          <t>VÄSTRA GÖTALANDS LÄN</t>
        </is>
      </c>
      <c r="E139" t="inlineStr">
        <is>
          <t>LILLA EDET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46012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7947-2024</t>
        </is>
      </c>
      <c r="B141" s="1" t="n">
        <v>45350</v>
      </c>
      <c r="C141" s="1" t="n">
        <v>46012</v>
      </c>
      <c r="D141" t="inlineStr">
        <is>
          <t>VÄSTRA GÖTALANDS LÄN</t>
        </is>
      </c>
      <c r="E141" t="inlineStr">
        <is>
          <t>LILLA EDET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1262-2021</t>
        </is>
      </c>
      <c r="B142" s="1" t="n">
        <v>44208</v>
      </c>
      <c r="C142" s="1" t="n">
        <v>46012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32110-2023</t>
        </is>
      </c>
      <c r="B143" s="1" t="n">
        <v>45119.61902777778</v>
      </c>
      <c r="C143" s="1" t="n">
        <v>46012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46012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46012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54681-2021</t>
        </is>
      </c>
      <c r="B146" s="1" t="n">
        <v>44473</v>
      </c>
      <c r="C146" s="1" t="n">
        <v>46012</v>
      </c>
      <c r="D146" t="inlineStr">
        <is>
          <t>VÄSTRA GÖTALANDS LÄN</t>
        </is>
      </c>
      <c r="E146" t="inlineStr">
        <is>
          <t>LILLA EDET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11102-2024</t>
        </is>
      </c>
      <c r="B147" s="1" t="n">
        <v>45371.32438657407</v>
      </c>
      <c r="C147" s="1" t="n">
        <v>46012</v>
      </c>
      <c r="D147" t="inlineStr">
        <is>
          <t>VÄSTRA GÖTALANDS LÄN</t>
        </is>
      </c>
      <c r="E147" t="inlineStr">
        <is>
          <t>LILLA EDET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5811-2025</t>
        </is>
      </c>
      <c r="B148" s="1" t="n">
        <v>45694.7127662037</v>
      </c>
      <c r="C148" s="1" t="n">
        <v>46012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47511-2024</t>
        </is>
      </c>
      <c r="B149" s="1" t="n">
        <v>45587.61174768519</v>
      </c>
      <c r="C149" s="1" t="n">
        <v>46012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43770-2023</t>
        </is>
      </c>
      <c r="B150" s="1" t="n">
        <v>45187.50803240741</v>
      </c>
      <c r="C150" s="1" t="n">
        <v>46012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4881-2024</t>
        </is>
      </c>
      <c r="B151" s="1" t="n">
        <v>45329.44875</v>
      </c>
      <c r="C151" s="1" t="n">
        <v>46012</v>
      </c>
      <c r="D151" t="inlineStr">
        <is>
          <t>VÄSTRA GÖTALANDS LÄN</t>
        </is>
      </c>
      <c r="E151" t="inlineStr">
        <is>
          <t>LILLA EDET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46561-2024</t>
        </is>
      </c>
      <c r="B152" s="1" t="n">
        <v>45582.67883101852</v>
      </c>
      <c r="C152" s="1" t="n">
        <v>46012</v>
      </c>
      <c r="D152" t="inlineStr">
        <is>
          <t>VÄSTRA GÖTALANDS LÄN</t>
        </is>
      </c>
      <c r="E152" t="inlineStr">
        <is>
          <t>LILLA EDET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47509-2024</t>
        </is>
      </c>
      <c r="B153" s="1" t="n">
        <v>45587.60949074074</v>
      </c>
      <c r="C153" s="1" t="n">
        <v>46012</v>
      </c>
      <c r="D153" t="inlineStr">
        <is>
          <t>VÄSTRA GÖTALANDS LÄN</t>
        </is>
      </c>
      <c r="E153" t="inlineStr">
        <is>
          <t>LILLA EDET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9046-2022</t>
        </is>
      </c>
      <c r="B154" s="1" t="n">
        <v>44615.44694444445</v>
      </c>
      <c r="C154" s="1" t="n">
        <v>46012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20031-2025</t>
        </is>
      </c>
      <c r="B155" s="1" t="n">
        <v>45772</v>
      </c>
      <c r="C155" s="1" t="n">
        <v>46012</v>
      </c>
      <c r="D155" t="inlineStr">
        <is>
          <t>VÄSTRA GÖTALANDS LÄN</t>
        </is>
      </c>
      <c r="E155" t="inlineStr">
        <is>
          <t>LILLA EDET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61435-2024</t>
        </is>
      </c>
      <c r="B156" s="1" t="n">
        <v>45646.46203703704</v>
      </c>
      <c r="C156" s="1" t="n">
        <v>46012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14929-2024</t>
        </is>
      </c>
      <c r="B157" s="1" t="n">
        <v>45398.64460648148</v>
      </c>
      <c r="C157" s="1" t="n">
        <v>46012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21630-2024</t>
        </is>
      </c>
      <c r="B158" s="1" t="n">
        <v>45442.32711805555</v>
      </c>
      <c r="C158" s="1" t="n">
        <v>46012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43767-2023</t>
        </is>
      </c>
      <c r="B159" s="1" t="n">
        <v>45187.50667824074</v>
      </c>
      <c r="C159" s="1" t="n">
        <v>46012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33991-2023</t>
        </is>
      </c>
      <c r="B160" s="1" t="n">
        <v>45134.90613425926</v>
      </c>
      <c r="C160" s="1" t="n">
        <v>46012</v>
      </c>
      <c r="D160" t="inlineStr">
        <is>
          <t>VÄSTRA GÖTALANDS LÄN</t>
        </is>
      </c>
      <c r="E160" t="inlineStr">
        <is>
          <t>LILLA EDET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41411-2022</t>
        </is>
      </c>
      <c r="B161" s="1" t="n">
        <v>44826.63782407407</v>
      </c>
      <c r="C161" s="1" t="n">
        <v>46012</v>
      </c>
      <c r="D161" t="inlineStr">
        <is>
          <t>VÄSTRA GÖTALANDS LÄN</t>
        </is>
      </c>
      <c r="E161" t="inlineStr">
        <is>
          <t>LILLA EDET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46012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46012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45158.42202546296</v>
      </c>
      <c r="C164" s="1" t="n">
        <v>46012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45158.43357638889</v>
      </c>
      <c r="C165" s="1" t="n">
        <v>46012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13382-2023</t>
        </is>
      </c>
      <c r="B166" s="1" t="n">
        <v>45005.50784722222</v>
      </c>
      <c r="C166" s="1" t="n">
        <v>46012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46012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38522-2024</t>
        </is>
      </c>
      <c r="B168" s="1" t="n">
        <v>45546.56513888889</v>
      </c>
      <c r="C168" s="1" t="n">
        <v>46012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46012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20037-2025</t>
        </is>
      </c>
      <c r="B170" s="1" t="n">
        <v>45772</v>
      </c>
      <c r="C170" s="1" t="n">
        <v>46012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46012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46012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46012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46012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46012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46012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46012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46012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46012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46012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46012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46012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46012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46012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46012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46012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46012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46012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46012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46012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46012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46012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46012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46012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46012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46012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46012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46012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46012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5420-2025</t>
        </is>
      </c>
      <c r="B200" s="1" t="n">
        <v>45692.68938657407</v>
      </c>
      <c r="C200" s="1" t="n">
        <v>46012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46012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46012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46012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46012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46012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46012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46012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23374-2025</t>
        </is>
      </c>
      <c r="B208" s="1" t="n">
        <v>45791.77096064815</v>
      </c>
      <c r="C208" s="1" t="n">
        <v>46012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46012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12782-2025</t>
        </is>
      </c>
      <c r="B210" s="1" t="n">
        <v>45733.59701388889</v>
      </c>
      <c r="C210" s="1" t="n">
        <v>46012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46012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14891-2025</t>
        </is>
      </c>
      <c r="B212" s="1" t="n">
        <v>45743.47010416666</v>
      </c>
      <c r="C212" s="1" t="n">
        <v>46012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2025-12-21T10:36:44Z</dcterms:created>
  <dcterms:modified xmlns:dcterms="http://purl.org/dc/terms/" xmlns:xsi="http://www.w3.org/2001/XMLSchema-instance" xsi:type="dcterms:W3CDTF">2025-12-21T10:36:44Z</dcterms:modified>
</cp:coreProperties>
</file>