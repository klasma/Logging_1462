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46296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46296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46296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46296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46296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46296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46296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46296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46296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46296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46296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46296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46296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46296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46296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46296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46296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46296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46296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46296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46296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46296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46296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11102-2024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46296</v>
      </c>
      <c r="F25" t="inlineStr">
        <is>
          <t>VÄSTRA GÖTALANDS LÄN</t>
        </is>
      </c>
      <c r="G25" t="inlineStr">
        <is>
          <t>LILLA EDET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HYPERLINK("https://klasma.github.io/Logging_1462/artfynd/A 11102-2024 artfynd.xlsx", "A 11102-2024")</f>
        <v/>
      </c>
      <c r="X25">
        <f>HYPERLINK("https://klasma.github.io/Logging_1462/kartor/A 11102-2024 karta.png", "A 11102-2024")</f>
        <v/>
      </c>
      <c r="Y25">
        <f>HYPERLINK("https://klasma.github.io/Logging_1462/kartor_geotiff/A 11102-2024 georefererad karta.tif", "A 11102-2024")</f>
        <v/>
      </c>
      <c r="AA25">
        <f>HYPERLINK("https://klasma.github.io/Logging_1462/klagomål/A 11102-2024 FSC-klagomål.docx", "A 11102-2024")</f>
        <v/>
      </c>
      <c r="AB25">
        <f>HYPERLINK("https://klasma.github.io/Logging_1462/klagomålsmail/A 11102-2024 FSC-klagomål mail.docx", "A 11102-2024")</f>
        <v/>
      </c>
      <c r="AC25">
        <f>HYPERLINK("https://klasma.github.io/Logging_1462/tillsyn/A 11102-2024 tillsynsbegäran.docx", "A 11102-2024")</f>
        <v/>
      </c>
      <c r="AD25">
        <f>HYPERLINK("https://klasma.github.io/Logging_1462/tillsynsmail/A 11102-2024 tillsynsbegäran mail.docx", "A 11102-2024")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46296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49384-2023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45205</v>
      </c>
      <c r="E27" s="1" t="n">
        <v>46296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Kattfotslav</t>
        </is>
      </c>
      <c r="W27">
        <f>HYPERLINK("https://klasma.github.io/Logging_1462/artfynd/A 49384-2023 artfynd.xlsx", "A 49384-2023")</f>
        <v/>
      </c>
      <c r="X27">
        <f>HYPERLINK("https://klasma.github.io/Logging_1462/kartor/A 49384-2023 karta.png", "A 49384-2023")</f>
        <v/>
      </c>
      <c r="Y27">
        <f>HYPERLINK("https://klasma.github.io/Logging_1462/kartor_geotiff/A 49384-2023 georefererad karta.tif", "A 49384-2023")</f>
        <v/>
      </c>
      <c r="AA27">
        <f>HYPERLINK("https://klasma.github.io/Logging_1462/klagomål/A 49384-2023 FSC-klagomål.docx", "A 49384-2023")</f>
        <v/>
      </c>
      <c r="AB27">
        <f>HYPERLINK("https://klasma.github.io/Logging_1462/klagomålsmail/A 49384-2023 FSC-klagomål mail.docx", "A 49384-2023")</f>
        <v/>
      </c>
      <c r="AC27">
        <f>HYPERLINK("https://klasma.github.io/Logging_1462/tillsyn/A 49384-2023 tillsynsbegäran.docx", "A 49384-2023")</f>
        <v/>
      </c>
      <c r="AD27">
        <f>HYPERLINK("https://klasma.github.io/Logging_1462/tillsynsmail/A 49384-2023 tillsynsbegäran mail.docx", "A 49384-2023")</f>
        <v/>
      </c>
    </row>
    <row r="28" ht="15" customHeight="1">
      <c r="A28" t="inlineStr">
        <is>
          <t>A 41756-2025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45902</v>
      </c>
      <c r="E28" s="1" t="n">
        <v>46296</v>
      </c>
      <c r="F28" t="inlineStr">
        <is>
          <t>VÄSTRA GÖTALANDS LÄN</t>
        </is>
      </c>
      <c r="G28" t="inlineStr">
        <is>
          <t>LILLA EDET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HYPERLINK("https://klasma.github.io/Logging_1462/artfynd/A 41756-2025 artfynd.xlsx", "A 41756-2025")</f>
        <v/>
      </c>
      <c r="X28">
        <f>HYPERLINK("https://klasma.github.io/Logging_1462/kartor/A 41756-2025 karta.png", "A 41756-2025")</f>
        <v/>
      </c>
      <c r="Y28">
        <f>HYPERLINK("https://klasma.github.io/Logging_1462/kartor_geotiff/A 41756-2025 georefererad karta.tif", "A 41756-2025")</f>
        <v/>
      </c>
      <c r="AA28">
        <f>HYPERLINK("https://klasma.github.io/Logging_1462/klagomål/A 41756-2025 FSC-klagomål.docx", "A 41756-2025")</f>
        <v/>
      </c>
      <c r="AB28">
        <f>HYPERLINK("https://klasma.github.io/Logging_1462/klagomålsmail/A 41756-2025 FSC-klagomål mail.docx", "A 41756-2025")</f>
        <v/>
      </c>
      <c r="AC28">
        <f>HYPERLINK("https://klasma.github.io/Logging_1462/tillsyn/A 41756-2025 tillsynsbegäran.docx", "A 41756-2025")</f>
        <v/>
      </c>
      <c r="AD28">
        <f>HYPERLINK("https://klasma.github.io/Logging_1462/tillsynsmail/A 41756-2025 tillsynsbegäran mail.docx", "A 41756-2025")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46296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46296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46296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46296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46296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46296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46296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46296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46296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46296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46296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46296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46296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46296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46296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46296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46296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46296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46296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46296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46296</v>
      </c>
      <c r="F49" t="inlineStr">
        <is>
          <t>VÄSTRA GÖTALANDS LÄN</t>
        </is>
      </c>
      <c r="G49" t="inlineStr">
        <is>
          <t>LILLA EDET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46296</v>
      </c>
      <c r="F50" t="inlineStr">
        <is>
          <t>VÄSTRA GÖTALANDS LÄN</t>
        </is>
      </c>
      <c r="G50" t="inlineStr">
        <is>
          <t>LILLA EDET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17114-2023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45034</v>
      </c>
      <c r="E51" s="1" t="n">
        <v>46296</v>
      </c>
      <c r="F51" t="inlineStr">
        <is>
          <t>VÄSTRA GÖTALANDS LÄN</t>
        </is>
      </c>
      <c r="G51" t="inlineStr">
        <is>
          <t>LILLA EDET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44826</v>
      </c>
      <c r="E52" s="1" t="n">
        <v>46296</v>
      </c>
      <c r="F52" t="inlineStr">
        <is>
          <t>VÄSTRA GÖTALANDS LÄN</t>
        </is>
      </c>
      <c r="G52" t="inlineStr">
        <is>
          <t>LILLA EDET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12647-2023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46296</v>
      </c>
      <c r="F53" t="inlineStr">
        <is>
          <t>VÄSTRA GÖTALANDS LÄN</t>
        </is>
      </c>
      <c r="G53" t="inlineStr">
        <is>
          <t>LILLA EDET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46296</v>
      </c>
      <c r="F54" t="inlineStr">
        <is>
          <t>VÄSTRA GÖTALANDS LÄN</t>
        </is>
      </c>
      <c r="G54" t="inlineStr">
        <is>
          <t>LILLA EDET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46296</v>
      </c>
      <c r="F55" t="inlineStr">
        <is>
          <t>VÄSTRA GÖTALANDS LÄN</t>
        </is>
      </c>
      <c r="G55" t="inlineStr">
        <is>
          <t>LILLA EDET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12234-2024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45378</v>
      </c>
      <c r="E56" s="1" t="n">
        <v>46296</v>
      </c>
      <c r="F56" t="inlineStr">
        <is>
          <t>VÄSTRA GÖTALANDS LÄN</t>
        </is>
      </c>
      <c r="G56" t="inlineStr">
        <is>
          <t>LILLA EDET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46296</v>
      </c>
      <c r="F57" t="inlineStr">
        <is>
          <t>VÄSTRA GÖTALANDS LÄN</t>
        </is>
      </c>
      <c r="G57" t="inlineStr">
        <is>
          <t>LILLA EDET</t>
        </is>
      </c>
      <c r="I57" t="n">
        <v>22.6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45390</v>
      </c>
      <c r="E58" s="1" t="n">
        <v>46296</v>
      </c>
      <c r="F58" t="inlineStr">
        <is>
          <t>VÄSTRA GÖTALANDS LÄN</t>
        </is>
      </c>
      <c r="G58" t="inlineStr">
        <is>
          <t>LILLA EDET</t>
        </is>
      </c>
      <c r="I58" t="n">
        <v>16.4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45225</v>
      </c>
      <c r="E59" s="1" t="n">
        <v>46296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45134</v>
      </c>
      <c r="E60" s="1" t="n">
        <v>46296</v>
      </c>
      <c r="F60" t="inlineStr">
        <is>
          <t>VÄSTRA GÖTALANDS LÄN</t>
        </is>
      </c>
      <c r="G60" t="inlineStr">
        <is>
          <t>LILLA EDET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46296</v>
      </c>
      <c r="F61" t="inlineStr">
        <is>
          <t>VÄSTRA GÖTALANDS LÄN</t>
        </is>
      </c>
      <c r="G61" t="inlineStr">
        <is>
          <t>LILLA EDET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45158</v>
      </c>
      <c r="E62" s="1" t="n">
        <v>46296</v>
      </c>
      <c r="F62" t="inlineStr">
        <is>
          <t>VÄSTRA GÖTALANDS LÄN</t>
        </is>
      </c>
      <c r="G62" t="inlineStr">
        <is>
          <t>LILLA EDET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37509-2023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45158</v>
      </c>
      <c r="E63" s="1" t="n">
        <v>46296</v>
      </c>
      <c r="F63" t="inlineStr">
        <is>
          <t>VÄSTRA GÖTALANDS LÄN</t>
        </is>
      </c>
      <c r="G63" t="inlineStr">
        <is>
          <t>LILLA EDET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46296</v>
      </c>
      <c r="F64" t="inlineStr">
        <is>
          <t>VÄSTRA GÖTALANDS LÄN</t>
        </is>
      </c>
      <c r="G64" t="inlineStr">
        <is>
          <t>LILLA EDET</t>
        </is>
      </c>
      <c r="H64" t="inlineStr">
        <is>
          <t>Kommuner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45350</v>
      </c>
      <c r="E65" s="1" t="n">
        <v>46296</v>
      </c>
      <c r="F65" t="inlineStr">
        <is>
          <t>VÄSTRA GÖTALANDS LÄN</t>
        </is>
      </c>
      <c r="G65" t="inlineStr">
        <is>
          <t>LILLA EDET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46296</v>
      </c>
      <c r="F66" t="inlineStr">
        <is>
          <t>VÄSTRA GÖTALANDS LÄN</t>
        </is>
      </c>
      <c r="G66" t="inlineStr">
        <is>
          <t>LILLA EDET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45034</v>
      </c>
      <c r="E67" s="1" t="n">
        <v>46296</v>
      </c>
      <c r="F67" t="inlineStr">
        <is>
          <t>VÄSTRA GÖTALANDS LÄN</t>
        </is>
      </c>
      <c r="G67" t="inlineStr">
        <is>
          <t>LILLA EDET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46296</v>
      </c>
      <c r="F68" t="inlineStr">
        <is>
          <t>VÄSTRA GÖTALANDS LÄN</t>
        </is>
      </c>
      <c r="G68" t="inlineStr">
        <is>
          <t>LILLA EDET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21630-2024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45442</v>
      </c>
      <c r="E69" s="1" t="n">
        <v>46296</v>
      </c>
      <c r="F69" t="inlineStr">
        <is>
          <t>VÄSTRA GÖTALANDS LÄN</t>
        </is>
      </c>
      <c r="G69" t="inlineStr">
        <is>
          <t>LILLA EDET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50349-2024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45600</v>
      </c>
      <c r="E70" s="1" t="n">
        <v>46296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46296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45187</v>
      </c>
      <c r="E72" s="1" t="n">
        <v>46296</v>
      </c>
      <c r="F72" t="inlineStr">
        <is>
          <t>VÄSTRA GÖTALANDS LÄN</t>
        </is>
      </c>
      <c r="G72" t="inlineStr">
        <is>
          <t>LILLA EDET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45213</v>
      </c>
      <c r="E73" s="1" t="n">
        <v>46296</v>
      </c>
      <c r="F73" t="inlineStr">
        <is>
          <t>VÄSTRA GÖTALANDS LÄN</t>
        </is>
      </c>
      <c r="G73" t="inlineStr">
        <is>
          <t>LILLA EDET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46296</v>
      </c>
      <c r="F74" t="inlineStr">
        <is>
          <t>VÄSTRA GÖTALANDS LÄN</t>
        </is>
      </c>
      <c r="G74" t="inlineStr">
        <is>
          <t>LILLA EDET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54681-2021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46296</v>
      </c>
      <c r="F75" t="inlineStr">
        <is>
          <t>VÄSTRA GÖTALANDS LÄN</t>
        </is>
      </c>
      <c r="G75" t="inlineStr">
        <is>
          <t>LILLA EDET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45134</v>
      </c>
      <c r="E76" s="1" t="n">
        <v>46296</v>
      </c>
      <c r="F76" t="inlineStr">
        <is>
          <t>VÄSTRA GÖTALANDS LÄN</t>
        </is>
      </c>
      <c r="G76" t="inlineStr">
        <is>
          <t>LILLA EDET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46296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45005</v>
      </c>
      <c r="E78" s="1" t="n">
        <v>46296</v>
      </c>
      <c r="F78" t="inlineStr">
        <is>
          <t>VÄSTRA GÖTALANDS LÄN</t>
        </is>
      </c>
      <c r="G78" t="inlineStr">
        <is>
          <t>LILLA EDET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45692</v>
      </c>
      <c r="E79" s="1" t="n">
        <v>46296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13581-2023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46296</v>
      </c>
      <c r="F80" t="inlineStr">
        <is>
          <t>VÄSTRA GÖTALANDS LÄN</t>
        </is>
      </c>
      <c r="G80" t="inlineStr">
        <is>
          <t>LILLA EDET</t>
        </is>
      </c>
      <c r="H80" t="inlineStr">
        <is>
          <t>Kommuner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46296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46296</v>
      </c>
      <c r="F82" t="inlineStr">
        <is>
          <t>VÄSTRA GÖTALANDS LÄN</t>
        </is>
      </c>
      <c r="G82" t="inlineStr">
        <is>
          <t>LILLA EDET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46296</v>
      </c>
      <c r="F83" t="inlineStr">
        <is>
          <t>VÄSTRA GÖTALANDS LÄN</t>
        </is>
      </c>
      <c r="G83" t="inlineStr">
        <is>
          <t>LILLA EDET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44671</v>
      </c>
      <c r="E84" s="1" t="n">
        <v>46296</v>
      </c>
      <c r="F84" t="inlineStr">
        <is>
          <t>VÄSTRA GÖTALANDS LÄN</t>
        </is>
      </c>
      <c r="G84" t="inlineStr">
        <is>
          <t>LILLA EDET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46296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46296</v>
      </c>
      <c r="F86" t="inlineStr">
        <is>
          <t>VÄSTRA GÖTALANDS LÄN</t>
        </is>
      </c>
      <c r="G86" t="inlineStr">
        <is>
          <t>LILLA EDET</t>
        </is>
      </c>
      <c r="H86" t="inlineStr">
        <is>
          <t>Kyrkan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45441</v>
      </c>
      <c r="E87" s="1" t="n">
        <v>46296</v>
      </c>
      <c r="F87" t="inlineStr">
        <is>
          <t>VÄSTRA GÖTALANDS LÄN</t>
        </is>
      </c>
      <c r="G87" t="inlineStr">
        <is>
          <t>LILLA EDET</t>
        </is>
      </c>
      <c r="I87" t="n">
        <v>9.699999999999999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46296</v>
      </c>
      <c r="F88" t="inlineStr">
        <is>
          <t>VÄSTRA GÖTALANDS LÄN</t>
        </is>
      </c>
      <c r="G88" t="inlineStr">
        <is>
          <t>LILLA EDET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46296</v>
      </c>
      <c r="F89" t="inlineStr">
        <is>
          <t>VÄSTRA GÖTALANDS LÄN</t>
        </is>
      </c>
      <c r="G89" t="inlineStr">
        <is>
          <t>LILLA EDET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45733</v>
      </c>
      <c r="E90" s="1" t="n">
        <v>46296</v>
      </c>
      <c r="F90" t="inlineStr">
        <is>
          <t>VÄSTRA GÖTALANDS LÄN</t>
        </is>
      </c>
      <c r="G90" t="inlineStr">
        <is>
          <t>LILLA EDET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46296</v>
      </c>
      <c r="F91" t="inlineStr">
        <is>
          <t>VÄSTRA GÖTALANDS LÄN</t>
        </is>
      </c>
      <c r="G91" t="inlineStr">
        <is>
          <t>LILLA EDET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12243-2025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45729</v>
      </c>
      <c r="E92" s="1" t="n">
        <v>46296</v>
      </c>
      <c r="F92" t="inlineStr">
        <is>
          <t>VÄSTRA GÖTALANDS LÄN</t>
        </is>
      </c>
      <c r="G92" t="inlineStr">
        <is>
          <t>LILLA EDET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46296</v>
      </c>
      <c r="F93" t="inlineStr">
        <is>
          <t>VÄSTRA GÖTALANDS LÄN</t>
        </is>
      </c>
      <c r="G93" t="inlineStr">
        <is>
          <t>LILLA EDET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30724-2024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45496</v>
      </c>
      <c r="E94" s="1" t="n">
        <v>46296</v>
      </c>
      <c r="F94" t="inlineStr">
        <is>
          <t>VÄSTRA GÖTALANDS LÄN</t>
        </is>
      </c>
      <c r="G94" t="inlineStr">
        <is>
          <t>LILLA EDET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46296</v>
      </c>
      <c r="F95" t="inlineStr">
        <is>
          <t>VÄSTRA GÖTALANDS LÄN</t>
        </is>
      </c>
      <c r="G95" t="inlineStr">
        <is>
          <t>LILLA EDET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46296</v>
      </c>
      <c r="F96" t="inlineStr">
        <is>
          <t>VÄSTRA GÖTALANDS LÄN</t>
        </is>
      </c>
      <c r="G96" t="inlineStr">
        <is>
          <t>LILLA EDET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45694</v>
      </c>
      <c r="E97" s="1" t="n">
        <v>46296</v>
      </c>
      <c r="F97" t="inlineStr">
        <is>
          <t>VÄSTRA GÖTALANDS LÄN</t>
        </is>
      </c>
      <c r="G97" t="inlineStr">
        <is>
          <t>LILLA EDET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45296</v>
      </c>
      <c r="E98" s="1" t="n">
        <v>46296</v>
      </c>
      <c r="F98" t="inlineStr">
        <is>
          <t>VÄSTRA GÖTALANDS LÄN</t>
        </is>
      </c>
      <c r="G98" t="inlineStr">
        <is>
          <t>LILLA EDET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24053-2025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45796</v>
      </c>
      <c r="E99" s="1" t="n">
        <v>46296</v>
      </c>
      <c r="F99" t="inlineStr">
        <is>
          <t>VÄSTRA GÖTALANDS LÄN</t>
        </is>
      </c>
      <c r="G99" t="inlineStr">
        <is>
          <t>LILLA EDET</t>
        </is>
      </c>
      <c r="I99" t="n">
        <v>11.1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45706</v>
      </c>
      <c r="E100" s="1" t="n">
        <v>46296</v>
      </c>
      <c r="F100" t="inlineStr">
        <is>
          <t>VÄSTRA GÖTALANDS LÄN</t>
        </is>
      </c>
      <c r="G100" t="inlineStr">
        <is>
          <t>LILLA EDET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45391</v>
      </c>
      <c r="E101" s="1" t="n">
        <v>46296</v>
      </c>
      <c r="F101" t="inlineStr">
        <is>
          <t>VÄSTRA GÖTALANDS LÄN</t>
        </is>
      </c>
      <c r="G101" t="inlineStr">
        <is>
          <t>LILLA EDET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45295</v>
      </c>
      <c r="E102" s="1" t="n">
        <v>46296</v>
      </c>
      <c r="F102" t="inlineStr">
        <is>
          <t>VÄSTRA GÖTALANDS LÄN</t>
        </is>
      </c>
      <c r="G102" t="inlineStr">
        <is>
          <t>LILLA EDET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14929-2024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45398</v>
      </c>
      <c r="E103" s="1" t="n">
        <v>46296</v>
      </c>
      <c r="F103" t="inlineStr">
        <is>
          <t>VÄSTRA GÖTALANDS LÄN</t>
        </is>
      </c>
      <c r="G103" t="inlineStr">
        <is>
          <t>LILLA EDET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45481</v>
      </c>
      <c r="E104" s="1" t="n">
        <v>46296</v>
      </c>
      <c r="F104" t="inlineStr">
        <is>
          <t>VÄSTRA GÖTALANDS LÄN</t>
        </is>
      </c>
      <c r="G104" t="inlineStr">
        <is>
          <t>LILLA EDET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45694</v>
      </c>
      <c r="E105" s="1" t="n">
        <v>46296</v>
      </c>
      <c r="F105" t="inlineStr">
        <is>
          <t>VÄSTRA GÖTALANDS LÄN</t>
        </is>
      </c>
      <c r="G105" t="inlineStr">
        <is>
          <t>LILLA EDET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46296</v>
      </c>
      <c r="F106" t="inlineStr">
        <is>
          <t>VÄSTRA GÖTALANDS LÄN</t>
        </is>
      </c>
      <c r="G106" t="inlineStr">
        <is>
          <t>LILLA EDET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45539</v>
      </c>
      <c r="E107" s="1" t="n">
        <v>46296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46296</v>
      </c>
      <c r="F108" t="inlineStr">
        <is>
          <t>VÄSTRA GÖTALANDS LÄN</t>
        </is>
      </c>
      <c r="G108" t="inlineStr">
        <is>
          <t>LILLA EDET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46296</v>
      </c>
      <c r="F109" t="inlineStr">
        <is>
          <t>VÄSTRA GÖTALANDS LÄN</t>
        </is>
      </c>
      <c r="G109" t="inlineStr">
        <is>
          <t>LILLA EDET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45324</v>
      </c>
      <c r="E110" s="1" t="n">
        <v>46296</v>
      </c>
      <c r="F110" t="inlineStr">
        <is>
          <t>VÄSTRA GÖTALANDS LÄN</t>
        </is>
      </c>
      <c r="G110" t="inlineStr">
        <is>
          <t>LILLA EDET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46296</v>
      </c>
      <c r="F111" t="inlineStr">
        <is>
          <t>VÄSTRA GÖTALANDS LÄN</t>
        </is>
      </c>
      <c r="G111" t="inlineStr">
        <is>
          <t>LILLA EDET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46296</v>
      </c>
      <c r="F112" t="inlineStr">
        <is>
          <t>VÄSTRA GÖTALANDS LÄN</t>
        </is>
      </c>
      <c r="G112" t="inlineStr">
        <is>
          <t>LILLA EDET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46296</v>
      </c>
      <c r="F113" t="inlineStr">
        <is>
          <t>VÄSTRA GÖTALANDS LÄN</t>
        </is>
      </c>
      <c r="G113" t="inlineStr">
        <is>
          <t>LILLA EDET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44869</v>
      </c>
      <c r="E114" s="1" t="n">
        <v>46296</v>
      </c>
      <c r="F114" t="inlineStr">
        <is>
          <t>VÄSTRA GÖTALANDS LÄN</t>
        </is>
      </c>
      <c r="G114" t="inlineStr">
        <is>
          <t>LILLA EDET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46296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45371</v>
      </c>
      <c r="E116" s="1" t="n">
        <v>46296</v>
      </c>
      <c r="F116" t="inlineStr">
        <is>
          <t>VÄSTRA GÖTALANDS LÄN</t>
        </is>
      </c>
      <c r="G116" t="inlineStr">
        <is>
          <t>LILLA EDET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46296</v>
      </c>
      <c r="F117" t="inlineStr">
        <is>
          <t>VÄSTRA GÖTALANDS LÄN</t>
        </is>
      </c>
      <c r="G117" t="inlineStr">
        <is>
          <t>LILLA EDET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46296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46296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45480</v>
      </c>
      <c r="E120" s="1" t="n">
        <v>46296</v>
      </c>
      <c r="F120" t="inlineStr">
        <is>
          <t>VÄSTRA GÖTALANDS LÄN</t>
        </is>
      </c>
      <c r="G120" t="inlineStr">
        <is>
          <t>LILLA EDET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45303</v>
      </c>
      <c r="E121" s="1" t="n">
        <v>46296</v>
      </c>
      <c r="F121" t="inlineStr">
        <is>
          <t>VÄSTRA GÖTALANDS LÄN</t>
        </is>
      </c>
      <c r="G121" t="inlineStr">
        <is>
          <t>LILLA EDET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45480</v>
      </c>
      <c r="E122" s="1" t="n">
        <v>46296</v>
      </c>
      <c r="F122" t="inlineStr">
        <is>
          <t>VÄSTRA GÖTALANDS LÄN</t>
        </is>
      </c>
      <c r="G122" t="inlineStr">
        <is>
          <t>LILLA EDET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45693</v>
      </c>
      <c r="E123" s="1" t="n">
        <v>46296</v>
      </c>
      <c r="F123" t="inlineStr">
        <is>
          <t>VÄSTRA GÖTALANDS LÄN</t>
        </is>
      </c>
      <c r="G123" t="inlineStr">
        <is>
          <t>LILLA EDET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46296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44915</v>
      </c>
      <c r="E125" s="1" t="n">
        <v>46296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46296</v>
      </c>
      <c r="F126" t="inlineStr">
        <is>
          <t>VÄSTRA GÖTALANDS LÄN</t>
        </is>
      </c>
      <c r="G126" t="inlineStr">
        <is>
          <t>LILLA EDET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46296</v>
      </c>
      <c r="F127" t="inlineStr">
        <is>
          <t>VÄSTRA GÖTALANDS LÄN</t>
        </is>
      </c>
      <c r="G127" t="inlineStr">
        <is>
          <t>LILLA EDET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46296</v>
      </c>
      <c r="F128" t="inlineStr">
        <is>
          <t>VÄSTRA GÖTALANDS LÄN</t>
        </is>
      </c>
      <c r="G128" t="inlineStr">
        <is>
          <t>LILLA EDET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45860</v>
      </c>
      <c r="E129" s="1" t="n">
        <v>46296</v>
      </c>
      <c r="F129" t="inlineStr">
        <is>
          <t>VÄSTRA GÖTALANDS LÄN</t>
        </is>
      </c>
      <c r="G129" t="inlineStr">
        <is>
          <t>LILLA EDET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45539</v>
      </c>
      <c r="E130" s="1" t="n">
        <v>46296</v>
      </c>
      <c r="F130" t="inlineStr">
        <is>
          <t>VÄSTRA GÖTALANDS LÄN</t>
        </is>
      </c>
      <c r="G130" t="inlineStr">
        <is>
          <t>LILLA EDET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45664</v>
      </c>
      <c r="E131" s="1" t="n">
        <v>46296</v>
      </c>
      <c r="F131" t="inlineStr">
        <is>
          <t>VÄSTRA GÖTALANDS LÄN</t>
        </is>
      </c>
      <c r="G131" t="inlineStr">
        <is>
          <t>LILLA EDET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46296</v>
      </c>
      <c r="F132" t="inlineStr">
        <is>
          <t>VÄSTRA GÖTALANDS LÄN</t>
        </is>
      </c>
      <c r="G132" t="inlineStr">
        <is>
          <t>LILLA EDET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45000</v>
      </c>
      <c r="E133" s="1" t="n">
        <v>46296</v>
      </c>
      <c r="F133" t="inlineStr">
        <is>
          <t>VÄSTRA GÖTALANDS LÄN</t>
        </is>
      </c>
      <c r="G133" t="inlineStr">
        <is>
          <t>LILLA EDET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46296</v>
      </c>
      <c r="F134" t="inlineStr">
        <is>
          <t>VÄSTRA GÖTALANDS LÄN</t>
        </is>
      </c>
      <c r="G134" t="inlineStr">
        <is>
          <t>LILLA EDET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48727-2025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46296</v>
      </c>
      <c r="F135" t="inlineStr">
        <is>
          <t>VÄSTRA GÖTALANDS LÄN</t>
        </is>
      </c>
      <c r="G135" t="inlineStr">
        <is>
          <t>LILLA EDET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65619-2021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44516</v>
      </c>
      <c r="E136" s="1" t="n">
        <v>46296</v>
      </c>
      <c r="F136" t="inlineStr">
        <is>
          <t>VÄSTRA GÖTALANDS LÄN</t>
        </is>
      </c>
      <c r="G136" t="inlineStr">
        <is>
          <t>LILLA EDET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46296</v>
      </c>
      <c r="F137" t="inlineStr">
        <is>
          <t>VÄSTRA GÖTALANDS LÄN</t>
        </is>
      </c>
      <c r="G137" t="inlineStr">
        <is>
          <t>LILLA EDET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45737</v>
      </c>
      <c r="E138" s="1" t="n">
        <v>46296</v>
      </c>
      <c r="F138" t="inlineStr">
        <is>
          <t>VÄSTRA GÖTALANDS LÄN</t>
        </is>
      </c>
      <c r="G138" t="inlineStr">
        <is>
          <t>LILLA EDET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45677</v>
      </c>
      <c r="E139" s="1" t="n">
        <v>46296</v>
      </c>
      <c r="F139" t="inlineStr">
        <is>
          <t>VÄSTRA GÖTALANDS LÄN</t>
        </is>
      </c>
      <c r="G139" t="inlineStr">
        <is>
          <t>LILLA EDET</t>
        </is>
      </c>
      <c r="I139" t="n">
        <v>10.7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46296</v>
      </c>
      <c r="F140" t="inlineStr">
        <is>
          <t>VÄSTRA GÖTALANDS LÄN</t>
        </is>
      </c>
      <c r="G140" t="inlineStr">
        <is>
          <t>LILLA EDET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46296</v>
      </c>
      <c r="F141" t="inlineStr">
        <is>
          <t>VÄSTRA GÖTALANDS LÄN</t>
        </is>
      </c>
      <c r="G141" t="inlineStr">
        <is>
          <t>LILLA EDET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46296</v>
      </c>
      <c r="F142" t="inlineStr">
        <is>
          <t>VÄSTRA GÖTALANDS LÄN</t>
        </is>
      </c>
      <c r="G142" t="inlineStr">
        <is>
          <t>LILLA EDET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46296</v>
      </c>
      <c r="F143" t="inlineStr">
        <is>
          <t>VÄSTRA GÖTALANDS LÄN</t>
        </is>
      </c>
      <c r="G143" t="inlineStr">
        <is>
          <t>LILLA EDET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35422-2025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46296</v>
      </c>
      <c r="F144" t="inlineStr">
        <is>
          <t>VÄSTRA GÖTALANDS LÄN</t>
        </is>
      </c>
      <c r="G144" t="inlineStr">
        <is>
          <t>LILLA EDET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46296</v>
      </c>
      <c r="F145" t="inlineStr">
        <is>
          <t>VÄSTRA GÖTALANDS LÄN</t>
        </is>
      </c>
      <c r="G145" t="inlineStr">
        <is>
          <t>LILLA EDET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46296</v>
      </c>
      <c r="F146" t="inlineStr">
        <is>
          <t>VÄSTRA GÖTALANDS LÄN</t>
        </is>
      </c>
      <c r="G146" t="inlineStr">
        <is>
          <t>LILLA EDET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46296</v>
      </c>
      <c r="F147" t="inlineStr">
        <is>
          <t>VÄSTRA GÖTALANDS LÄN</t>
        </is>
      </c>
      <c r="G147" t="inlineStr">
        <is>
          <t>LILLA EDET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46296</v>
      </c>
      <c r="F148" t="inlineStr">
        <is>
          <t>VÄSTRA GÖTALANDS LÄN</t>
        </is>
      </c>
      <c r="G148" t="inlineStr">
        <is>
          <t>LILLA EDET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46296</v>
      </c>
      <c r="F149" t="inlineStr">
        <is>
          <t>VÄSTRA GÖTALANDS LÄN</t>
        </is>
      </c>
      <c r="G149" t="inlineStr">
        <is>
          <t>LILLA EDET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46296</v>
      </c>
      <c r="F150" t="inlineStr">
        <is>
          <t>VÄSTRA GÖTALANDS LÄN</t>
        </is>
      </c>
      <c r="G150" t="inlineStr">
        <is>
          <t>LILLA EDET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45971</v>
      </c>
      <c r="E151" s="1" t="n">
        <v>46296</v>
      </c>
      <c r="F151" t="inlineStr">
        <is>
          <t>VÄSTRA GÖTALANDS LÄN</t>
        </is>
      </c>
      <c r="G151" t="inlineStr">
        <is>
          <t>LILLA EDET</t>
        </is>
      </c>
      <c r="H151" t="inlineStr">
        <is>
          <t>Sveaskog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46296</v>
      </c>
      <c r="F152" t="inlineStr">
        <is>
          <t>VÄSTRA GÖTALANDS LÄN</t>
        </is>
      </c>
      <c r="G152" t="inlineStr">
        <is>
          <t>LILLA EDET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46296</v>
      </c>
      <c r="F153" t="inlineStr">
        <is>
          <t>VÄSTRA GÖTALANDS LÄN</t>
        </is>
      </c>
      <c r="G153" t="inlineStr">
        <is>
          <t>LILLA EDET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45400</v>
      </c>
      <c r="E154" s="1" t="n">
        <v>46296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46296</v>
      </c>
      <c r="F155" t="inlineStr">
        <is>
          <t>VÄSTRA GÖTALANDS LÄN</t>
        </is>
      </c>
      <c r="G155" t="inlineStr">
        <is>
          <t>LILLA EDET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46119</v>
      </c>
      <c r="E156" s="1" t="n">
        <v>46296</v>
      </c>
      <c r="F156" t="inlineStr">
        <is>
          <t>VÄSTRA GÖTALANDS LÄN</t>
        </is>
      </c>
      <c r="G156" t="inlineStr">
        <is>
          <t>LILLA EDET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46129</v>
      </c>
      <c r="E157" s="1" t="n">
        <v>46296</v>
      </c>
      <c r="F157" t="inlineStr">
        <is>
          <t>VÄSTRA GÖTALANDS LÄN</t>
        </is>
      </c>
      <c r="G157" t="inlineStr">
        <is>
          <t>LILLA EDET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19079-2025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45766</v>
      </c>
      <c r="E158" s="1" t="n">
        <v>46296</v>
      </c>
      <c r="F158" t="inlineStr">
        <is>
          <t>VÄSTRA GÖTALANDS LÄN</t>
        </is>
      </c>
      <c r="G158" t="inlineStr">
        <is>
          <t>LILLA EDET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45653</v>
      </c>
      <c r="E159" s="1" t="n">
        <v>46296</v>
      </c>
      <c r="F159" t="inlineStr">
        <is>
          <t>VÄSTRA GÖTALANDS LÄN</t>
        </is>
      </c>
      <c r="G159" t="inlineStr">
        <is>
          <t>LILLA EDET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46296</v>
      </c>
      <c r="F160" t="inlineStr">
        <is>
          <t>VÄSTRA GÖTALANDS LÄN</t>
        </is>
      </c>
      <c r="G160" t="inlineStr">
        <is>
          <t>LILLA EDET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44889</v>
      </c>
      <c r="E161" s="1" t="n">
        <v>46296</v>
      </c>
      <c r="F161" t="inlineStr">
        <is>
          <t>VÄSTRA GÖTALANDS LÄN</t>
        </is>
      </c>
      <c r="G161" t="inlineStr">
        <is>
          <t>LILLA EDET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46296</v>
      </c>
      <c r="F162" t="inlineStr">
        <is>
          <t>VÄSTRA GÖTALANDS LÄN</t>
        </is>
      </c>
      <c r="G162" t="inlineStr">
        <is>
          <t>LILLA EDET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46296</v>
      </c>
      <c r="F163" t="inlineStr">
        <is>
          <t>VÄSTRA GÖTALANDS LÄN</t>
        </is>
      </c>
      <c r="G163" t="inlineStr">
        <is>
          <t>LILLA EDET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46296</v>
      </c>
      <c r="F164" t="inlineStr">
        <is>
          <t>VÄSTRA GÖTALANDS LÄN</t>
        </is>
      </c>
      <c r="G164" t="inlineStr">
        <is>
          <t>LILLA EDET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23541-2026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46163</v>
      </c>
      <c r="E165" s="1" t="n">
        <v>46296</v>
      </c>
      <c r="F165" t="inlineStr">
        <is>
          <t>VÄSTRA GÖTALANDS LÄN</t>
        </is>
      </c>
      <c r="G165" t="inlineStr">
        <is>
          <t>LILLA EDET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45743</v>
      </c>
      <c r="E166" s="1" t="n">
        <v>46296</v>
      </c>
      <c r="F166" t="inlineStr">
        <is>
          <t>VÄSTRA GÖTALANDS LÄN</t>
        </is>
      </c>
      <c r="G166" t="inlineStr">
        <is>
          <t>LILLA EDET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46296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Kyrkan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46296</v>
      </c>
      <c r="F168" t="inlineStr">
        <is>
          <t>VÄSTRA GÖTALANDS LÄN</t>
        </is>
      </c>
      <c r="G168" t="inlineStr">
        <is>
          <t>LILLA EDET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46190</v>
      </c>
      <c r="E169" s="1" t="n">
        <v>46296</v>
      </c>
      <c r="F169" t="inlineStr">
        <is>
          <t>VÄSTRA GÖTALANDS LÄN</t>
        </is>
      </c>
      <c r="G169" t="inlineStr">
        <is>
          <t>LILLA EDET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46036</v>
      </c>
      <c r="E170" s="1" t="n">
        <v>46296</v>
      </c>
      <c r="F170" t="inlineStr">
        <is>
          <t>VÄSTRA GÖTALANDS LÄN</t>
        </is>
      </c>
      <c r="G170" t="inlineStr">
        <is>
          <t>LILLA EDET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46296</v>
      </c>
      <c r="F171" t="inlineStr">
        <is>
          <t>VÄSTRA GÖTALANDS LÄN</t>
        </is>
      </c>
      <c r="G171" t="inlineStr">
        <is>
          <t>LILLA EDET</t>
        </is>
      </c>
      <c r="I171" t="n">
        <v>10.5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35883-2026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46266</v>
      </c>
      <c r="E172" s="1" t="n">
        <v>46296</v>
      </c>
      <c r="F172" t="inlineStr">
        <is>
          <t>VÄSTRA GÖTALANDS LÄN</t>
        </is>
      </c>
      <c r="G172" t="inlineStr">
        <is>
          <t>LILLA EDET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36722-2026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46272</v>
      </c>
      <c r="E173" s="1" t="n">
        <v>46296</v>
      </c>
      <c r="F173" t="inlineStr">
        <is>
          <t>VÄSTRA GÖTALANDS LÄN</t>
        </is>
      </c>
      <c r="G173" t="inlineStr">
        <is>
          <t>LILLA EDET</t>
        </is>
      </c>
      <c r="H173" t="inlineStr">
        <is>
          <t>Kommuner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37037-2026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46296</v>
      </c>
      <c r="F174" t="inlineStr">
        <is>
          <t>VÄSTRA GÖTALANDS LÄN</t>
        </is>
      </c>
      <c r="G174" t="inlineStr">
        <is>
          <t>LILLA EDET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46272</v>
      </c>
      <c r="E175" s="1" t="n">
        <v>46296</v>
      </c>
      <c r="F175" t="inlineStr">
        <is>
          <t>VÄSTRA GÖTALANDS LÄN</t>
        </is>
      </c>
      <c r="G175" t="inlineStr">
        <is>
          <t>LILLA EDET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46242</v>
      </c>
      <c r="E176" s="1" t="n">
        <v>46296</v>
      </c>
      <c r="F176" t="inlineStr">
        <is>
          <t>VÄSTRA GÖTALANDS LÄN</t>
        </is>
      </c>
      <c r="G176" t="inlineStr">
        <is>
          <t>LILLA EDET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46296</v>
      </c>
      <c r="F177" t="inlineStr">
        <is>
          <t>VÄSTRA GÖTALANDS LÄN</t>
        </is>
      </c>
      <c r="G177" t="inlineStr">
        <is>
          <t>LILLA EDET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46296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2026-10-01T02:03:19Z</dcterms:created>
  <dcterms:modified xmlns:dcterms="http://purl.org/dc/terms/" xmlns:xsi="http://www.w3.org/2001/XMLSchema-instance" xsi:type="dcterms:W3CDTF">2026-10-01T02:03:19Z</dcterms:modified>
</cp:coreProperties>
</file>