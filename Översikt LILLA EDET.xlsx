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46303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46303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46303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46303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46303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46303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46303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40487-2026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46295</v>
      </c>
      <c r="E9" s="1" t="n">
        <v>46303</v>
      </c>
      <c r="F9" t="inlineStr">
        <is>
          <t>VÄSTRA GÖTALANDS LÄN</t>
        </is>
      </c>
      <c r="G9" t="inlineStr">
        <is>
          <t>LILLA EDET</t>
        </is>
      </c>
      <c r="I9" t="n">
        <v>11.4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11</v>
      </c>
      <c r="U9" t="n">
        <v>0</v>
      </c>
      <c r="V9" s="2" t="inlineStr">
        <is>
          <t>Kambräken
Mattlummer
Lopplummer (aggregat)
Revlummer
Äkta lopplummer</t>
        </is>
      </c>
      <c r="W9">
        <f>HYPERLINK("https://klasma.github.io/Logging_1462/artfynd/A 40487-2026 artfynd.xlsx", "A 40487-2026")</f>
        <v/>
      </c>
      <c r="X9">
        <f>HYPERLINK("https://klasma.github.io/Logging_1462/kartor/A 40487-2026 karta.png", "A 40487-2026")</f>
        <v/>
      </c>
      <c r="Y9">
        <f>HYPERLINK("https://klasma.github.io/Logging_1462/kartor_geotiff/A 40487-2026 georefererad karta.tif", "A 40487-2026")</f>
        <v/>
      </c>
      <c r="AA9">
        <f>HYPERLINK("https://klasma.github.io/Logging_1462/klagomål/A 40487-2026 FSC-klagomål.docx", "A 40487-2026")</f>
        <v/>
      </c>
      <c r="AB9">
        <f>HYPERLINK("https://klasma.github.io/Logging_1462/klagomålsmail/A 40487-2026 FSC-klagomål mail.docx", "A 40487-2026")</f>
        <v/>
      </c>
      <c r="AC9">
        <f>HYPERLINK("https://klasma.github.io/Logging_1462/tillsyn/A 40487-2026 tillsynsbegäran.docx", "A 40487-2026")</f>
        <v/>
      </c>
      <c r="AD9">
        <f>HYPERLINK("https://klasma.github.io/Logging_1462/tillsynsmail/A 40487-2026 tillsynsbegäran mail.docx", "A 40487-2026")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46303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46303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46303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46303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46303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7</v>
      </c>
      <c r="V14" s="2" t="inlineStr">
        <is>
          <t>Nordfladdermus
Dvärgpipistrell
Vattenfladdermus
Grönvit nattviol</t>
        </is>
      </c>
      <c r="W14">
        <f>HYPERLINK("https://klasma.github.io/Logging_1462/artfynd/A 23563-2023 artfynd.xlsx", "A 23563-2023")</f>
        <v/>
      </c>
      <c r="X14">
        <f>HYPERLINK("https://klasma.github.io/Logging_1462/kartor/A 23563-2023 karta.png", "A 23563-2023")</f>
        <v/>
      </c>
      <c r="Y14">
        <f>HYPERLINK("https://klasma.github.io/Logging_1462/kartor_geotiff/A 23563-2023 georefererad karta.tif", "A 23563-2023")</f>
        <v/>
      </c>
      <c r="AA14">
        <f>HYPERLINK("https://klasma.github.io/Logging_1462/klagomål/A 23563-2023 FSC-klagomål.docx", "A 23563-2023")</f>
        <v/>
      </c>
      <c r="AB14">
        <f>HYPERLINK("https://klasma.github.io/Logging_1462/klagomålsmail/A 23563-2023 FSC-klagomål mail.docx", "A 23563-2023")</f>
        <v/>
      </c>
      <c r="AC14">
        <f>HYPERLINK("https://klasma.github.io/Logging_1462/tillsyn/A 23563-2023 tillsynsbegäran.docx", "A 23563-2023")</f>
        <v/>
      </c>
      <c r="AD14">
        <f>HYPERLINK("https://klasma.github.io/Logging_1462/tillsynsmail/A 23563-2023 tillsynsbegäran mail.docx", "A 23563-2023")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46303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23559-2023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45072</v>
      </c>
      <c r="E16" s="1" t="n">
        <v>46303</v>
      </c>
      <c r="F16" t="inlineStr">
        <is>
          <t>VÄSTRA GÖTALANDS LÄN</t>
        </is>
      </c>
      <c r="G16" t="inlineStr">
        <is>
          <t>LILLA EDET</t>
        </is>
      </c>
      <c r="H16" t="inlineStr">
        <is>
          <t>Kyrkan</t>
        </is>
      </c>
      <c r="I16" t="n">
        <v>1.7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8</v>
      </c>
      <c r="U16" t="n">
        <v>8</v>
      </c>
      <c r="V16" s="2" t="inlineStr">
        <is>
          <t>Flodpärlmussla
Spillkråka
Revlummer</t>
        </is>
      </c>
      <c r="W16">
        <f>HYPERLINK("https://klasma.github.io/Logging_1462/artfynd/A 23559-2023 artfynd.xlsx", "A 23559-2023")</f>
        <v/>
      </c>
      <c r="X16">
        <f>HYPERLINK("https://klasma.github.io/Logging_1462/kartor/A 23559-2023 karta.png", "A 23559-2023")</f>
        <v/>
      </c>
      <c r="Y16">
        <f>HYPERLINK("https://klasma.github.io/Logging_1462/kartor_geotiff/A 23559-2023 georefererad karta.tif", "A 23559-2023")</f>
        <v/>
      </c>
      <c r="AA16">
        <f>HYPERLINK("https://klasma.github.io/Logging_1462/klagomål/A 23559-2023 FSC-klagomål.docx", "A 23559-2023")</f>
        <v/>
      </c>
      <c r="AB16">
        <f>HYPERLINK("https://klasma.github.io/Logging_1462/klagomålsmail/A 23559-2023 FSC-klagomål mail.docx", "A 23559-2023")</f>
        <v/>
      </c>
      <c r="AC16">
        <f>HYPERLINK("https://klasma.github.io/Logging_1462/tillsyn/A 23559-2023 tillsynsbegäran.docx", "A 23559-2023")</f>
        <v/>
      </c>
      <c r="AD16">
        <f>HYPERLINK("https://klasma.github.io/Logging_1462/tillsynsmail/A 23559-2023 tillsynsbegäran mail.docx", "A 23559-2023")</f>
        <v/>
      </c>
      <c r="AE16">
        <f>HYPERLINK("https://klasma.github.io/Logging_1462/fåglar/A 23559-2023 prioriterade fågelarter.docx", "A 23559-2023")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46303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46303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Stor revmossa
Nattskärra
Törnskata</t>
        </is>
      </c>
      <c r="W18">
        <f>HYPERLINK("https://klasma.github.io/Logging_1462/artfynd/A 28021-2023 artfynd.xlsx", "A 28021-2023")</f>
        <v/>
      </c>
      <c r="X18">
        <f>HYPERLINK("https://klasma.github.io/Logging_1462/kartor/A 28021-2023 karta.png", "A 28021-2023")</f>
        <v/>
      </c>
      <c r="Y18">
        <f>HYPERLINK("https://klasma.github.io/Logging_1462/kartor_geotiff/A 28021-2023 georefererad karta.tif", "A 28021-2023")</f>
        <v/>
      </c>
      <c r="AA18">
        <f>HYPERLINK("https://klasma.github.io/Logging_1462/klagomål/A 28021-2023 FSC-klagomål.docx", "A 28021-2023")</f>
        <v/>
      </c>
      <c r="AB18">
        <f>HYPERLINK("https://klasma.github.io/Logging_1462/klagomålsmail/A 28021-2023 FSC-klagomål mail.docx", "A 28021-2023")</f>
        <v/>
      </c>
      <c r="AC18">
        <f>HYPERLINK("https://klasma.github.io/Logging_1462/tillsyn/A 28021-2023 tillsynsbegäran.docx", "A 28021-2023")</f>
        <v/>
      </c>
      <c r="AD18">
        <f>HYPERLINK("https://klasma.github.io/Logging_1462/tillsynsmail/A 28021-2023 tillsynsbegäran mail.docx", "A 28021-2023")</f>
        <v/>
      </c>
      <c r="AE18">
        <f>HYPERLINK("https://klasma.github.io/Logging_1462/fåglar/A 28021-2023 prioriterade fågelarter.docx", "A 28021-2023")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46303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5866-2026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46303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3.1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9</v>
      </c>
      <c r="U20" t="n">
        <v>9</v>
      </c>
      <c r="V20" s="2" t="inlineStr">
        <is>
          <t>Spillkråka
Revlummer</t>
        </is>
      </c>
      <c r="W20">
        <f>HYPERLINK("https://klasma.github.io/Logging_1462/artfynd/A 5866-2026 artfynd.xlsx", "A 5866-2026")</f>
        <v/>
      </c>
      <c r="X20">
        <f>HYPERLINK("https://klasma.github.io/Logging_1462/kartor/A 5866-2026 karta.png", "A 5866-2026")</f>
        <v/>
      </c>
      <c r="Y20">
        <f>HYPERLINK("https://klasma.github.io/Logging_1462/kartor_geotiff/A 5866-2026 georefererad karta.tif", "A 5866-2026")</f>
        <v/>
      </c>
      <c r="AA20">
        <f>HYPERLINK("https://klasma.github.io/Logging_1462/klagomål/A 5866-2026 FSC-klagomål.docx", "A 5866-2026")</f>
        <v/>
      </c>
      <c r="AB20">
        <f>HYPERLINK("https://klasma.github.io/Logging_1462/klagomålsmail/A 5866-2026 FSC-klagomål mail.docx", "A 5866-2026")</f>
        <v/>
      </c>
      <c r="AC20">
        <f>HYPERLINK("https://klasma.github.io/Logging_1462/tillsyn/A 5866-2026 tillsynsbegäran.docx", "A 5866-2026")</f>
        <v/>
      </c>
      <c r="AD20">
        <f>HYPERLINK("https://klasma.github.io/Logging_1462/tillsynsmail/A 5866-2026 tillsynsbegäran mail.docx", "A 5866-2026")</f>
        <v/>
      </c>
      <c r="AE20">
        <f>HYPERLINK("https://klasma.github.io/Logging_1462/fåglar/A 5866-2026 prioriterade fågelarter.docx", "A 5866-2026")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46303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46303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46303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46303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46303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46303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7062-2024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45343</v>
      </c>
      <c r="E27" s="1" t="n">
        <v>46303</v>
      </c>
      <c r="F27" t="inlineStr">
        <is>
          <t>VÄSTRA GÖTALANDS LÄN</t>
        </is>
      </c>
      <c r="G27" t="inlineStr">
        <is>
          <t>LILLA EDET</t>
        </is>
      </c>
      <c r="I27" t="n">
        <v>9.1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HYPERLINK("https://klasma.github.io/Logging_1462/artfynd/A 7062-2024 artfynd.xlsx", "A 7062-2024")</f>
        <v/>
      </c>
      <c r="X27">
        <f>HYPERLINK("https://klasma.github.io/Logging_1462/kartor/A 7062-2024 karta.png", "A 7062-2024")</f>
        <v/>
      </c>
      <c r="Y27">
        <f>HYPERLINK("https://klasma.github.io/Logging_1462/kartor_geotiff/A 7062-2024 georefererad karta.tif", "A 7062-2024")</f>
        <v/>
      </c>
      <c r="AA27">
        <f>HYPERLINK("https://klasma.github.io/Logging_1462/klagomål/A 7062-2024 FSC-klagomål.docx", "A 7062-2024")</f>
        <v/>
      </c>
      <c r="AB27">
        <f>HYPERLINK("https://klasma.github.io/Logging_1462/klagomålsmail/A 7062-2024 FSC-klagomål mail.docx", "A 7062-2024")</f>
        <v/>
      </c>
      <c r="AC27">
        <f>HYPERLINK("https://klasma.github.io/Logging_1462/tillsyn/A 7062-2024 tillsynsbegäran.docx", "A 7062-2024")</f>
        <v/>
      </c>
      <c r="AD27">
        <f>HYPERLINK("https://klasma.github.io/Logging_1462/tillsynsmail/A 7062-2024 tillsynsbegäran mail.docx", "A 7062-2024")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46303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46303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46303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46303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46303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46303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46303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46303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46303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46303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46303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46303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36359-2022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46303</v>
      </c>
      <c r="F40" t="inlineStr">
        <is>
          <t>VÄSTRA GÖTALANDS LÄN</t>
        </is>
      </c>
      <c r="G40" t="inlineStr">
        <is>
          <t>LILLA EDET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46303</v>
      </c>
      <c r="F41" t="inlineStr">
        <is>
          <t>VÄSTRA GÖTALANDS LÄN</t>
        </is>
      </c>
      <c r="G41" t="inlineStr">
        <is>
          <t>LILLA EDET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10726-2022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44627</v>
      </c>
      <c r="E42" s="1" t="n">
        <v>46303</v>
      </c>
      <c r="F42" t="inlineStr">
        <is>
          <t>VÄSTRA GÖTALANDS LÄN</t>
        </is>
      </c>
      <c r="G42" t="inlineStr">
        <is>
          <t>LILLA EDET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38059-2022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44811</v>
      </c>
      <c r="E43" s="1" t="n">
        <v>46303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44565</v>
      </c>
      <c r="E44" s="1" t="n">
        <v>46303</v>
      </c>
      <c r="F44" t="inlineStr">
        <is>
          <t>VÄSTRA GÖTALANDS LÄN</t>
        </is>
      </c>
      <c r="G44" t="inlineStr">
        <is>
          <t>LILLA EDET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46303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30287-2022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46303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44826</v>
      </c>
      <c r="E47" s="1" t="n">
        <v>46303</v>
      </c>
      <c r="F47" t="inlineStr">
        <is>
          <t>VÄSTRA GÖTALANDS LÄN</t>
        </is>
      </c>
      <c r="G47" t="inlineStr">
        <is>
          <t>LILLA EDET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12234-2024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45378</v>
      </c>
      <c r="E48" s="1" t="n">
        <v>46303</v>
      </c>
      <c r="F48" t="inlineStr">
        <is>
          <t>VÄSTRA GÖTALANDS LÄN</t>
        </is>
      </c>
      <c r="G48" t="inlineStr">
        <is>
          <t>LILLA EDET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46303</v>
      </c>
      <c r="F49" t="inlineStr">
        <is>
          <t>VÄSTRA GÖTALANDS LÄN</t>
        </is>
      </c>
      <c r="G49" t="inlineStr">
        <is>
          <t>LILLA EDET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45684</v>
      </c>
      <c r="E50" s="1" t="n">
        <v>46303</v>
      </c>
      <c r="F50" t="inlineStr">
        <is>
          <t>VÄSTRA GÖTALANDS LÄN</t>
        </is>
      </c>
      <c r="G50" t="inlineStr">
        <is>
          <t>LILLA EDET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12784-2025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46303</v>
      </c>
      <c r="F51" t="inlineStr">
        <is>
          <t>VÄSTRA GÖTALANDS LÄN</t>
        </is>
      </c>
      <c r="G51" t="inlineStr">
        <is>
          <t>LILLA EDET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21617-2024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45441</v>
      </c>
      <c r="E52" s="1" t="n">
        <v>46303</v>
      </c>
      <c r="F52" t="inlineStr">
        <is>
          <t>VÄSTRA GÖTALANDS LÄN</t>
        </is>
      </c>
      <c r="G52" t="inlineStr">
        <is>
          <t>LILLA EDET</t>
        </is>
      </c>
      <c r="I52" t="n">
        <v>9.699999999999999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13887-2024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45391</v>
      </c>
      <c r="E53" s="1" t="n">
        <v>46303</v>
      </c>
      <c r="F53" t="inlineStr">
        <is>
          <t>VÄSTRA GÖTALANDS LÄN</t>
        </is>
      </c>
      <c r="G53" t="inlineStr">
        <is>
          <t>LILLA EDET</t>
        </is>
      </c>
      <c r="I53" t="n">
        <v>11.3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30724-2024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45496</v>
      </c>
      <c r="E54" s="1" t="n">
        <v>46303</v>
      </c>
      <c r="F54" t="inlineStr">
        <is>
          <t>VÄSTRA GÖTALANDS LÄN</t>
        </is>
      </c>
      <c r="G54" t="inlineStr">
        <is>
          <t>LILLA EDET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22561-2025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45789</v>
      </c>
      <c r="E55" s="1" t="n">
        <v>46303</v>
      </c>
      <c r="F55" t="inlineStr">
        <is>
          <t>VÄSTRA GÖTALANDS LÄN</t>
        </is>
      </c>
      <c r="G55" t="inlineStr">
        <is>
          <t>LILLA EDET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45677</v>
      </c>
      <c r="E56" s="1" t="n">
        <v>46303</v>
      </c>
      <c r="F56" t="inlineStr">
        <is>
          <t>VÄSTRA GÖTALANDS LÄN</t>
        </is>
      </c>
      <c r="G56" t="inlineStr">
        <is>
          <t>LILLA EDET</t>
        </is>
      </c>
      <c r="I56" t="n">
        <v>10.7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35423-2025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45855</v>
      </c>
      <c r="E57" s="1" t="n">
        <v>46303</v>
      </c>
      <c r="F57" t="inlineStr">
        <is>
          <t>VÄSTRA GÖTALANDS LÄN</t>
        </is>
      </c>
      <c r="G57" t="inlineStr">
        <is>
          <t>LILLA EDET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23509-2025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45792</v>
      </c>
      <c r="E58" s="1" t="n">
        <v>46303</v>
      </c>
      <c r="F58" t="inlineStr">
        <is>
          <t>VÄSTRA GÖTALANDS LÄN</t>
        </is>
      </c>
      <c r="G58" t="inlineStr">
        <is>
          <t>LILLA EDET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61284-2022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44915</v>
      </c>
      <c r="E59" s="1" t="n">
        <v>46303</v>
      </c>
      <c r="F59" t="inlineStr">
        <is>
          <t>VÄSTRA GÖTALANDS LÄN</t>
        </is>
      </c>
      <c r="G59" t="inlineStr">
        <is>
          <t>LILLA EDET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23374-2025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45791</v>
      </c>
      <c r="E60" s="1" t="n">
        <v>46303</v>
      </c>
      <c r="F60" t="inlineStr">
        <is>
          <t>VÄSTRA GÖTALANDS LÄN</t>
        </is>
      </c>
      <c r="G60" t="inlineStr">
        <is>
          <t>LILLA EDET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12790-2025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45733</v>
      </c>
      <c r="E61" s="1" t="n">
        <v>46303</v>
      </c>
      <c r="F61" t="inlineStr">
        <is>
          <t>VÄSTRA GÖTALANDS LÄN</t>
        </is>
      </c>
      <c r="G61" t="inlineStr">
        <is>
          <t>LILLA EDET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52431-2023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45225</v>
      </c>
      <c r="E62" s="1" t="n">
        <v>46303</v>
      </c>
      <c r="F62" t="inlineStr">
        <is>
          <t>VÄSTRA GÖTALANDS LÄN</t>
        </is>
      </c>
      <c r="G62" t="inlineStr">
        <is>
          <t>LILLA EDET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12243-2025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45729</v>
      </c>
      <c r="E63" s="1" t="n">
        <v>46303</v>
      </c>
      <c r="F63" t="inlineStr">
        <is>
          <t>VÄSTRA GÖTALANDS LÄN</t>
        </is>
      </c>
      <c r="G63" t="inlineStr">
        <is>
          <t>LILLA EDET</t>
        </is>
      </c>
      <c r="I63" t="n">
        <v>10.2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45796</v>
      </c>
      <c r="E64" s="1" t="n">
        <v>46303</v>
      </c>
      <c r="F64" t="inlineStr">
        <is>
          <t>VÄSTRA GÖTALANDS LÄN</t>
        </is>
      </c>
      <c r="G64" t="inlineStr">
        <is>
          <t>LILLA EDET</t>
        </is>
      </c>
      <c r="I64" t="n">
        <v>11.1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26886-2023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46303</v>
      </c>
      <c r="F65" t="inlineStr">
        <is>
          <t>VÄSTRA GÖTALANDS LÄN</t>
        </is>
      </c>
      <c r="G65" t="inlineStr">
        <is>
          <t>LILLA EDET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11104-2024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45371</v>
      </c>
      <c r="E66" s="1" t="n">
        <v>46303</v>
      </c>
      <c r="F66" t="inlineStr">
        <is>
          <t>VÄSTRA GÖTALANDS LÄN</t>
        </is>
      </c>
      <c r="G66" t="inlineStr">
        <is>
          <t>LILLA EDET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45694</v>
      </c>
      <c r="E67" s="1" t="n">
        <v>46303</v>
      </c>
      <c r="F67" t="inlineStr">
        <is>
          <t>VÄSTRA GÖTALANDS LÄN</t>
        </is>
      </c>
      <c r="G67" t="inlineStr">
        <is>
          <t>LILLA EDET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26443-2023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46303</v>
      </c>
      <c r="F68" t="inlineStr">
        <is>
          <t>VÄSTRA GÖTALANDS LÄN</t>
        </is>
      </c>
      <c r="G68" t="inlineStr">
        <is>
          <t>LILLA EDET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46303</v>
      </c>
      <c r="F69" t="inlineStr">
        <is>
          <t>VÄSTRA GÖTALANDS LÄN</t>
        </is>
      </c>
      <c r="G69" t="inlineStr">
        <is>
          <t>LILLA EDET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41760-2025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46303</v>
      </c>
      <c r="F70" t="inlineStr">
        <is>
          <t>VÄSTRA GÖTALANDS LÄN</t>
        </is>
      </c>
      <c r="G70" t="inlineStr">
        <is>
          <t>LILLA EDET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17114-2023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45034</v>
      </c>
      <c r="E71" s="1" t="n">
        <v>46303</v>
      </c>
      <c r="F71" t="inlineStr">
        <is>
          <t>VÄSTRA GÖTALANDS LÄN</t>
        </is>
      </c>
      <c r="G71" t="inlineStr">
        <is>
          <t>LILLA EDET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7819-2025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45706</v>
      </c>
      <c r="E72" s="1" t="n">
        <v>46303</v>
      </c>
      <c r="F72" t="inlineStr">
        <is>
          <t>VÄSTRA GÖTALANDS LÄN</t>
        </is>
      </c>
      <c r="G72" t="inlineStr">
        <is>
          <t>LILLA EDET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41759-2025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46303</v>
      </c>
      <c r="F73" t="inlineStr">
        <is>
          <t>VÄSTRA GÖTALANDS LÄN</t>
        </is>
      </c>
      <c r="G73" t="inlineStr">
        <is>
          <t>LILLA EDET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58750-2021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44489</v>
      </c>
      <c r="E74" s="1" t="n">
        <v>46303</v>
      </c>
      <c r="F74" t="inlineStr">
        <is>
          <t>VÄSTRA GÖTALANDS LÄN</t>
        </is>
      </c>
      <c r="G74" t="inlineStr">
        <is>
          <t>LILLA EDET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46303</v>
      </c>
      <c r="F75" t="inlineStr">
        <is>
          <t>VÄSTRA GÖTALANDS LÄN</t>
        </is>
      </c>
      <c r="G75" t="inlineStr">
        <is>
          <t>LILLA EDET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7947-2024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46303</v>
      </c>
      <c r="F76" t="inlineStr">
        <is>
          <t>VÄSTRA GÖTALANDS LÄN</t>
        </is>
      </c>
      <c r="G76" t="inlineStr">
        <is>
          <t>LILLA EDET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42857-2025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45908</v>
      </c>
      <c r="E77" s="1" t="n">
        <v>46303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43684-2025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45912</v>
      </c>
      <c r="E78" s="1" t="n">
        <v>46303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45694</v>
      </c>
      <c r="E79" s="1" t="n">
        <v>46303</v>
      </c>
      <c r="F79" t="inlineStr">
        <is>
          <t>VÄSTRA GÖTALANDS LÄN</t>
        </is>
      </c>
      <c r="G79" t="inlineStr">
        <is>
          <t>LILLA EDET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46303</v>
      </c>
      <c r="F80" t="inlineStr">
        <is>
          <t>VÄSTRA GÖTALANDS LÄN</t>
        </is>
      </c>
      <c r="G80" t="inlineStr">
        <is>
          <t>LILLA EDET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36984-2024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45539</v>
      </c>
      <c r="E81" s="1" t="n">
        <v>46303</v>
      </c>
      <c r="F81" t="inlineStr">
        <is>
          <t>VÄSTRA GÖTALANDS LÄN</t>
        </is>
      </c>
      <c r="G81" t="inlineStr">
        <is>
          <t>LILLA EDET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45134</v>
      </c>
      <c r="E82" s="1" t="n">
        <v>46303</v>
      </c>
      <c r="F82" t="inlineStr">
        <is>
          <t>VÄSTRA GÖTALANDS LÄN</t>
        </is>
      </c>
      <c r="G82" t="inlineStr">
        <is>
          <t>LILLA EDET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33996-2023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45134</v>
      </c>
      <c r="E83" s="1" t="n">
        <v>46303</v>
      </c>
      <c r="F83" t="inlineStr">
        <is>
          <t>VÄSTRA GÖTALANDS LÄN</t>
        </is>
      </c>
      <c r="G83" t="inlineStr">
        <is>
          <t>LILLA EDET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46303</v>
      </c>
      <c r="F84" t="inlineStr">
        <is>
          <t>VÄSTRA GÖTALANDS LÄN</t>
        </is>
      </c>
      <c r="G84" t="inlineStr">
        <is>
          <t>LILLA EDET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46303</v>
      </c>
      <c r="F85" t="inlineStr">
        <is>
          <t>VÄSTRA GÖTALANDS LÄN</t>
        </is>
      </c>
      <c r="G85" t="inlineStr">
        <is>
          <t>LILLA EDET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46303</v>
      </c>
      <c r="F86" t="inlineStr">
        <is>
          <t>VÄSTRA GÖTALANDS LÄN</t>
        </is>
      </c>
      <c r="G86" t="inlineStr">
        <is>
          <t>LILLA EDET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46303</v>
      </c>
      <c r="F87" t="inlineStr">
        <is>
          <t>VÄSTRA GÖTALANDS LÄN</t>
        </is>
      </c>
      <c r="G87" t="inlineStr">
        <is>
          <t>LILLA EDET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27222-2025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46303</v>
      </c>
      <c r="F88" t="inlineStr">
        <is>
          <t>VÄSTRA GÖTALANDS LÄN</t>
        </is>
      </c>
      <c r="G88" t="inlineStr">
        <is>
          <t>LILLA EDET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65619-2021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46303</v>
      </c>
      <c r="F89" t="inlineStr">
        <is>
          <t>VÄSTRA GÖTALANDS LÄN</t>
        </is>
      </c>
      <c r="G89" t="inlineStr">
        <is>
          <t>LILLA EDET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13581-2023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45006</v>
      </c>
      <c r="E90" s="1" t="n">
        <v>46303</v>
      </c>
      <c r="F90" t="inlineStr">
        <is>
          <t>VÄSTRA GÖTALANDS LÄN</t>
        </is>
      </c>
      <c r="G90" t="inlineStr">
        <is>
          <t>LILLA EDET</t>
        </is>
      </c>
      <c r="H90" t="inlineStr">
        <is>
          <t>Kommuner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46303</v>
      </c>
      <c r="F91" t="inlineStr">
        <is>
          <t>VÄSTRA GÖTALANDS LÄN</t>
        </is>
      </c>
      <c r="G91" t="inlineStr">
        <is>
          <t>LILLA EDET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44869</v>
      </c>
      <c r="E92" s="1" t="n">
        <v>46303</v>
      </c>
      <c r="F92" t="inlineStr">
        <is>
          <t>VÄSTRA GÖTALANDS LÄN</t>
        </is>
      </c>
      <c r="G92" t="inlineStr">
        <is>
          <t>LILLA EDET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45480</v>
      </c>
      <c r="E93" s="1" t="n">
        <v>46303</v>
      </c>
      <c r="F93" t="inlineStr">
        <is>
          <t>VÄSTRA GÖTALANDS LÄN</t>
        </is>
      </c>
      <c r="G93" t="inlineStr">
        <is>
          <t>LILLA EDET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45373</v>
      </c>
      <c r="E94" s="1" t="n">
        <v>46303</v>
      </c>
      <c r="F94" t="inlineStr">
        <is>
          <t>VÄSTRA GÖTALANDS LÄN</t>
        </is>
      </c>
      <c r="G94" t="inlineStr">
        <is>
          <t>LILLA EDET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46303</v>
      </c>
      <c r="F95" t="inlineStr">
        <is>
          <t>VÄSTRA GÖTALANDS LÄN</t>
        </is>
      </c>
      <c r="G95" t="inlineStr">
        <is>
          <t>LILLA EDET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15567-2022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44662</v>
      </c>
      <c r="E96" s="1" t="n">
        <v>46303</v>
      </c>
      <c r="F96" t="inlineStr">
        <is>
          <t>VÄSTRA GÖTALANDS LÄN</t>
        </is>
      </c>
      <c r="G96" t="inlineStr">
        <is>
          <t>LILLA EDET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46303</v>
      </c>
      <c r="F97" t="inlineStr">
        <is>
          <t>VÄSTRA GÖTALANDS LÄN</t>
        </is>
      </c>
      <c r="G97" t="inlineStr">
        <is>
          <t>LILLA EDET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45303</v>
      </c>
      <c r="E98" s="1" t="n">
        <v>46303</v>
      </c>
      <c r="F98" t="inlineStr">
        <is>
          <t>VÄSTRA GÖTALANDS LÄN</t>
        </is>
      </c>
      <c r="G98" t="inlineStr">
        <is>
          <t>LILLA EDET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46303</v>
      </c>
      <c r="F99" t="inlineStr">
        <is>
          <t>VÄSTRA GÖTALANDS LÄN</t>
        </is>
      </c>
      <c r="G99" t="inlineStr">
        <is>
          <t>LILLA EDET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13801-2025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45737</v>
      </c>
      <c r="E100" s="1" t="n">
        <v>46303</v>
      </c>
      <c r="F100" t="inlineStr">
        <is>
          <t>VÄSTRA GÖTALANDS LÄN</t>
        </is>
      </c>
      <c r="G100" t="inlineStr">
        <is>
          <t>LILLA EDET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49188-2025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46303</v>
      </c>
      <c r="F101" t="inlineStr">
        <is>
          <t>VÄSTRA GÖTALANDS LÄN</t>
        </is>
      </c>
      <c r="G101" t="inlineStr">
        <is>
          <t>LILLA EDET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47511-2024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46303</v>
      </c>
      <c r="F102" t="inlineStr">
        <is>
          <t>VÄSTRA GÖTALANDS LÄN</t>
        </is>
      </c>
      <c r="G102" t="inlineStr">
        <is>
          <t>LILLA EDET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45664</v>
      </c>
      <c r="E103" s="1" t="n">
        <v>46303</v>
      </c>
      <c r="F103" t="inlineStr">
        <is>
          <t>VÄSTRA GÖTALANDS LÄN</t>
        </is>
      </c>
      <c r="G103" t="inlineStr">
        <is>
          <t>LILLA EDET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43770-2023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45187</v>
      </c>
      <c r="E104" s="1" t="n">
        <v>46303</v>
      </c>
      <c r="F104" t="inlineStr">
        <is>
          <t>VÄSTRA GÖTALANDS LÄN</t>
        </is>
      </c>
      <c r="G104" t="inlineStr">
        <is>
          <t>LILLA EDET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45329</v>
      </c>
      <c r="E105" s="1" t="n">
        <v>46303</v>
      </c>
      <c r="F105" t="inlineStr">
        <is>
          <t>VÄSTRA GÖTALANDS LÄN</t>
        </is>
      </c>
      <c r="G105" t="inlineStr">
        <is>
          <t>LILLA EDET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45350</v>
      </c>
      <c r="E106" s="1" t="n">
        <v>46303</v>
      </c>
      <c r="F106" t="inlineStr">
        <is>
          <t>VÄSTRA GÖTALANDS LÄN</t>
        </is>
      </c>
      <c r="G106" t="inlineStr">
        <is>
          <t>LILLA EDET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44960</v>
      </c>
      <c r="E107" s="1" t="n">
        <v>46303</v>
      </c>
      <c r="F107" t="inlineStr">
        <is>
          <t>VÄSTRA GÖTALANDS LÄN</t>
        </is>
      </c>
      <c r="G107" t="inlineStr">
        <is>
          <t>LILLA EDET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45855</v>
      </c>
      <c r="E108" s="1" t="n">
        <v>46303</v>
      </c>
      <c r="F108" t="inlineStr">
        <is>
          <t>VÄSTRA GÖTALANDS LÄN</t>
        </is>
      </c>
      <c r="G108" t="inlineStr">
        <is>
          <t>LILLA EDET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54804-2022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44883</v>
      </c>
      <c r="E109" s="1" t="n">
        <v>46303</v>
      </c>
      <c r="F109" t="inlineStr">
        <is>
          <t>VÄSTRA GÖTALANDS LÄN</t>
        </is>
      </c>
      <c r="G109" t="inlineStr">
        <is>
          <t>LILLA EDET</t>
        </is>
      </c>
      <c r="I109" t="n">
        <v>22.6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35717-2025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45860</v>
      </c>
      <c r="E110" s="1" t="n">
        <v>46303</v>
      </c>
      <c r="F110" t="inlineStr">
        <is>
          <t>VÄSTRA GÖTALANDS LÄN</t>
        </is>
      </c>
      <c r="G110" t="inlineStr">
        <is>
          <t>LILLA EDET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46303</v>
      </c>
      <c r="F111" t="inlineStr">
        <is>
          <t>VÄSTRA GÖTALANDS LÄN</t>
        </is>
      </c>
      <c r="G111" t="inlineStr">
        <is>
          <t>LILLA EDET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46303</v>
      </c>
      <c r="F112" t="inlineStr">
        <is>
          <t>VÄSTRA GÖTALANDS LÄN</t>
        </is>
      </c>
      <c r="G112" t="inlineStr">
        <is>
          <t>LILLA EDET</t>
        </is>
      </c>
      <c r="H112" t="inlineStr">
        <is>
          <t>Sveaskog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8117-2023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44974</v>
      </c>
      <c r="E113" s="1" t="n">
        <v>46303</v>
      </c>
      <c r="F113" t="inlineStr">
        <is>
          <t>VÄSTRA GÖTALANDS LÄN</t>
        </is>
      </c>
      <c r="G113" t="inlineStr">
        <is>
          <t>LILLA EDET</t>
        </is>
      </c>
      <c r="I113" t="n">
        <v>11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61435-2024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45646</v>
      </c>
      <c r="E114" s="1" t="n">
        <v>46303</v>
      </c>
      <c r="F114" t="inlineStr">
        <is>
          <t>VÄSTRA GÖTALANDS LÄN</t>
        </is>
      </c>
      <c r="G114" t="inlineStr">
        <is>
          <t>LILLA EDET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46303</v>
      </c>
      <c r="F115" t="inlineStr">
        <is>
          <t>VÄSTRA GÖTALANDS LÄN</t>
        </is>
      </c>
      <c r="G115" t="inlineStr">
        <is>
          <t>LILLA EDET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12628-2023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45000</v>
      </c>
      <c r="E116" s="1" t="n">
        <v>46303</v>
      </c>
      <c r="F116" t="inlineStr">
        <is>
          <t>VÄSTRA GÖTALANDS LÄN</t>
        </is>
      </c>
      <c r="G116" t="inlineStr">
        <is>
          <t>LILLA EDET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45653</v>
      </c>
      <c r="E117" s="1" t="n">
        <v>46303</v>
      </c>
      <c r="F117" t="inlineStr">
        <is>
          <t>VÄSTRA GÖTALANDS LÄN</t>
        </is>
      </c>
      <c r="G117" t="inlineStr">
        <is>
          <t>LILLA EDET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46001</v>
      </c>
      <c r="E118" s="1" t="n">
        <v>46303</v>
      </c>
      <c r="F118" t="inlineStr">
        <is>
          <t>VÄSTRA GÖTALANDS LÄN</t>
        </is>
      </c>
      <c r="G118" t="inlineStr">
        <is>
          <t>LILLA EDET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46303</v>
      </c>
      <c r="F119" t="inlineStr">
        <is>
          <t>VÄSTRA GÖTALANDS LÄN</t>
        </is>
      </c>
      <c r="G119" t="inlineStr">
        <is>
          <t>LILLA EDET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46303</v>
      </c>
      <c r="F120" t="inlineStr">
        <is>
          <t>VÄSTRA GÖTALANDS LÄN</t>
        </is>
      </c>
      <c r="G120" t="inlineStr">
        <is>
          <t>LILLA EDET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46303</v>
      </c>
      <c r="F121" t="inlineStr">
        <is>
          <t>VÄSTRA GÖTALANDS LÄN</t>
        </is>
      </c>
      <c r="G121" t="inlineStr">
        <is>
          <t>LILLA EDET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14929-2024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45398</v>
      </c>
      <c r="E122" s="1" t="n">
        <v>46303</v>
      </c>
      <c r="F122" t="inlineStr">
        <is>
          <t>VÄSTRA GÖTALANDS LÄN</t>
        </is>
      </c>
      <c r="G122" t="inlineStr">
        <is>
          <t>LILLA EDET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21630-2024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45442</v>
      </c>
      <c r="E123" s="1" t="n">
        <v>46303</v>
      </c>
      <c r="F123" t="inlineStr">
        <is>
          <t>VÄSTRA GÖTALANDS LÄN</t>
        </is>
      </c>
      <c r="G123" t="inlineStr">
        <is>
          <t>LILLA EDET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45480</v>
      </c>
      <c r="E124" s="1" t="n">
        <v>46303</v>
      </c>
      <c r="F124" t="inlineStr">
        <is>
          <t>VÄSTRA GÖTALANDS LÄN</t>
        </is>
      </c>
      <c r="G124" t="inlineStr">
        <is>
          <t>LILLA EDET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45187</v>
      </c>
      <c r="E125" s="1" t="n">
        <v>46303</v>
      </c>
      <c r="F125" t="inlineStr">
        <is>
          <t>VÄSTRA GÖTALANDS LÄN</t>
        </is>
      </c>
      <c r="G125" t="inlineStr">
        <is>
          <t>LILLA EDET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45000</v>
      </c>
      <c r="E126" s="1" t="n">
        <v>46303</v>
      </c>
      <c r="F126" t="inlineStr">
        <is>
          <t>VÄSTRA GÖTALANDS LÄN</t>
        </is>
      </c>
      <c r="G126" t="inlineStr">
        <is>
          <t>LILLA EDET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33991-2023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45134</v>
      </c>
      <c r="E127" s="1" t="n">
        <v>46303</v>
      </c>
      <c r="F127" t="inlineStr">
        <is>
          <t>VÄSTRA GÖTALANDS LÄN</t>
        </is>
      </c>
      <c r="G127" t="inlineStr">
        <is>
          <t>LILLA EDET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23541-2026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46163</v>
      </c>
      <c r="E128" s="1" t="n">
        <v>46303</v>
      </c>
      <c r="F128" t="inlineStr">
        <is>
          <t>VÄSTRA GÖTALANDS LÄN</t>
        </is>
      </c>
      <c r="G128" t="inlineStr">
        <is>
          <t>LILLA EDET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45692</v>
      </c>
      <c r="E129" s="1" t="n">
        <v>46303</v>
      </c>
      <c r="F129" t="inlineStr">
        <is>
          <t>VÄSTRA GÖTALANDS LÄN</t>
        </is>
      </c>
      <c r="G129" t="inlineStr">
        <is>
          <t>LILLA EDET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41411-2022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44826</v>
      </c>
      <c r="E130" s="1" t="n">
        <v>46303</v>
      </c>
      <c r="F130" t="inlineStr">
        <is>
          <t>VÄSTRA GÖTALANDS LÄN</t>
        </is>
      </c>
      <c r="G130" t="inlineStr">
        <is>
          <t>LILLA EDET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46303</v>
      </c>
      <c r="F131" t="inlineStr">
        <is>
          <t>VÄSTRA GÖTALANDS LÄN</t>
        </is>
      </c>
      <c r="G131" t="inlineStr">
        <is>
          <t>LILLA EDET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46171</v>
      </c>
      <c r="E132" s="1" t="n">
        <v>46303</v>
      </c>
      <c r="F132" t="inlineStr">
        <is>
          <t>VÄSTRA GÖTALANDS LÄN</t>
        </is>
      </c>
      <c r="G132" t="inlineStr">
        <is>
          <t>LILLA EDET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45324</v>
      </c>
      <c r="E133" s="1" t="n">
        <v>46303</v>
      </c>
      <c r="F133" t="inlineStr">
        <is>
          <t>VÄSTRA GÖTALANDS LÄN</t>
        </is>
      </c>
      <c r="G133" t="inlineStr">
        <is>
          <t>LILLA EDET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45324</v>
      </c>
      <c r="E134" s="1" t="n">
        <v>46303</v>
      </c>
      <c r="F134" t="inlineStr">
        <is>
          <t>VÄSTRA GÖTALANDS LÄN</t>
        </is>
      </c>
      <c r="G134" t="inlineStr">
        <is>
          <t>LILLA EDET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45158</v>
      </c>
      <c r="E135" s="1" t="n">
        <v>46303</v>
      </c>
      <c r="F135" t="inlineStr">
        <is>
          <t>VÄSTRA GÖTALANDS LÄN</t>
        </is>
      </c>
      <c r="G135" t="inlineStr">
        <is>
          <t>LILLA EDET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45158</v>
      </c>
      <c r="E136" s="1" t="n">
        <v>46303</v>
      </c>
      <c r="F136" t="inlineStr">
        <is>
          <t>VÄSTRA GÖTALANDS LÄN</t>
        </is>
      </c>
      <c r="G136" t="inlineStr">
        <is>
          <t>LILLA EDET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25729-2026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46303</v>
      </c>
      <c r="F137" t="inlineStr">
        <is>
          <t>VÄSTRA GÖTALANDS LÄN</t>
        </is>
      </c>
      <c r="G137" t="inlineStr">
        <is>
          <t>LILLA EDET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27643-2026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46303</v>
      </c>
      <c r="F138" t="inlineStr">
        <is>
          <t>VÄSTRA GÖTALANDS LÄN</t>
        </is>
      </c>
      <c r="G138" t="inlineStr">
        <is>
          <t>LILLA EDET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56584-2025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45974</v>
      </c>
      <c r="E139" s="1" t="n">
        <v>46303</v>
      </c>
      <c r="F139" t="inlineStr">
        <is>
          <t>VÄSTRA GÖTALANDS LÄN</t>
        </is>
      </c>
      <c r="G139" t="inlineStr">
        <is>
          <t>LILLA EDET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45005</v>
      </c>
      <c r="E140" s="1" t="n">
        <v>46303</v>
      </c>
      <c r="F140" t="inlineStr">
        <is>
          <t>VÄSTRA GÖTALANDS LÄN</t>
        </is>
      </c>
      <c r="G140" t="inlineStr">
        <is>
          <t>LILLA EDET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44811</v>
      </c>
      <c r="E141" s="1" t="n">
        <v>46303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15351-2024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45400</v>
      </c>
      <c r="E142" s="1" t="n">
        <v>46303</v>
      </c>
      <c r="F142" t="inlineStr">
        <is>
          <t>VÄSTRA GÖTALANDS LÄN</t>
        </is>
      </c>
      <c r="G142" t="inlineStr">
        <is>
          <t>LILLA EDET</t>
        </is>
      </c>
      <c r="H142" t="inlineStr">
        <is>
          <t>Kyrkan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16473-2022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44671</v>
      </c>
      <c r="E143" s="1" t="n">
        <v>46303</v>
      </c>
      <c r="F143" t="inlineStr">
        <is>
          <t>VÄSTRA GÖTALANDS LÄN</t>
        </is>
      </c>
      <c r="G143" t="inlineStr">
        <is>
          <t>LILLA EDET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40092-2024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45554</v>
      </c>
      <c r="E144" s="1" t="n">
        <v>46303</v>
      </c>
      <c r="F144" t="inlineStr">
        <is>
          <t>VÄSTRA GÖTALANDS LÄN</t>
        </is>
      </c>
      <c r="G144" t="inlineStr">
        <is>
          <t>LILLA EDET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57754-2023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45246</v>
      </c>
      <c r="E145" s="1" t="n">
        <v>46303</v>
      </c>
      <c r="F145" t="inlineStr">
        <is>
          <t>VÄSTRA GÖTALANDS LÄN</t>
        </is>
      </c>
      <c r="G145" t="inlineStr">
        <is>
          <t>LILLA EDET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46303</v>
      </c>
      <c r="F146" t="inlineStr">
        <is>
          <t>VÄSTRA GÖTALANDS LÄN</t>
        </is>
      </c>
      <c r="G146" t="inlineStr">
        <is>
          <t>LILLA EDET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30605-2026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46210</v>
      </c>
      <c r="E147" s="1" t="n">
        <v>46303</v>
      </c>
      <c r="F147" t="inlineStr">
        <is>
          <t>VÄSTRA GÖTALANDS LÄN</t>
        </is>
      </c>
      <c r="G147" t="inlineStr">
        <is>
          <t>LILLA EDET</t>
        </is>
      </c>
      <c r="I147" t="n">
        <v>10.5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46303</v>
      </c>
      <c r="F148" t="inlineStr">
        <is>
          <t>VÄSTRA GÖTALANDS LÄN</t>
        </is>
      </c>
      <c r="G148" t="inlineStr">
        <is>
          <t>LILLA EDET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17377-2026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46119</v>
      </c>
      <c r="E149" s="1" t="n">
        <v>46303</v>
      </c>
      <c r="F149" t="inlineStr">
        <is>
          <t>VÄSTRA GÖTALANDS LÄN</t>
        </is>
      </c>
      <c r="G149" t="inlineStr">
        <is>
          <t>LILLA EDET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46303</v>
      </c>
      <c r="F150" t="inlineStr">
        <is>
          <t>VÄSTRA GÖTALANDS LÄN</t>
        </is>
      </c>
      <c r="G150" t="inlineStr">
        <is>
          <t>LILLA EDET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17116-2023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45034</v>
      </c>
      <c r="E151" s="1" t="n">
        <v>46303</v>
      </c>
      <c r="F151" t="inlineStr">
        <is>
          <t>VÄSTRA GÖTALANDS LÄN</t>
        </is>
      </c>
      <c r="G151" t="inlineStr">
        <is>
          <t>LILLA EDET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18841-2026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46129</v>
      </c>
      <c r="E152" s="1" t="n">
        <v>46303</v>
      </c>
      <c r="F152" t="inlineStr">
        <is>
          <t>VÄSTRA GÖTALANDS LÄN</t>
        </is>
      </c>
      <c r="G152" t="inlineStr">
        <is>
          <t>LILLA EDET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12760-2023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45001</v>
      </c>
      <c r="E153" s="1" t="n">
        <v>46303</v>
      </c>
      <c r="F153" t="inlineStr">
        <is>
          <t>VÄSTRA GÖTALANDS LÄN</t>
        </is>
      </c>
      <c r="G153" t="inlineStr">
        <is>
          <t>LILLA EDET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45693</v>
      </c>
      <c r="E154" s="1" t="n">
        <v>46303</v>
      </c>
      <c r="F154" t="inlineStr">
        <is>
          <t>VÄSTRA GÖTALANDS LÄN</t>
        </is>
      </c>
      <c r="G154" t="inlineStr">
        <is>
          <t>LILLA EDET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45295</v>
      </c>
      <c r="E155" s="1" t="n">
        <v>46303</v>
      </c>
      <c r="F155" t="inlineStr">
        <is>
          <t>VÄSTRA GÖTALANDS LÄN</t>
        </is>
      </c>
      <c r="G155" t="inlineStr">
        <is>
          <t>LILLA EDET</t>
        </is>
      </c>
      <c r="H155" t="inlineStr">
        <is>
          <t>Kyrkan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45481</v>
      </c>
      <c r="E156" s="1" t="n">
        <v>46303</v>
      </c>
      <c r="F156" t="inlineStr">
        <is>
          <t>VÄSTRA GÖTALANDS LÄN</t>
        </is>
      </c>
      <c r="G156" t="inlineStr">
        <is>
          <t>LILLA EDET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45692</v>
      </c>
      <c r="E157" s="1" t="n">
        <v>46303</v>
      </c>
      <c r="F157" t="inlineStr">
        <is>
          <t>VÄSTRA GÖTALANDS LÄN</t>
        </is>
      </c>
      <c r="G157" t="inlineStr">
        <is>
          <t>LILLA EDET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46303</v>
      </c>
      <c r="F158" t="inlineStr">
        <is>
          <t>VÄSTRA GÖTALANDS LÄN</t>
        </is>
      </c>
      <c r="G158" t="inlineStr">
        <is>
          <t>LILLA EDET</t>
        </is>
      </c>
      <c r="I158" t="n">
        <v>16.4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46303</v>
      </c>
      <c r="F159" t="inlineStr">
        <is>
          <t>VÄSTRA GÖTALANDS LÄN</t>
        </is>
      </c>
      <c r="G159" t="inlineStr">
        <is>
          <t>LILLA EDET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46303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35883-2026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46266</v>
      </c>
      <c r="E161" s="1" t="n">
        <v>46303</v>
      </c>
      <c r="F161" t="inlineStr">
        <is>
          <t>VÄSTRA GÖTALANDS LÄN</t>
        </is>
      </c>
      <c r="G161" t="inlineStr">
        <is>
          <t>LILLA EDET</t>
        </is>
      </c>
      <c r="I161" t="n">
        <v>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19079-2025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45766</v>
      </c>
      <c r="E162" s="1" t="n">
        <v>46303</v>
      </c>
      <c r="F162" t="inlineStr">
        <is>
          <t>VÄSTRA GÖTALANDS LÄN</t>
        </is>
      </c>
      <c r="G162" t="inlineStr">
        <is>
          <t>LILLA EDET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45299</v>
      </c>
      <c r="E163" s="1" t="n">
        <v>46303</v>
      </c>
      <c r="F163" t="inlineStr">
        <is>
          <t>VÄSTRA GÖTALANDS LÄN</t>
        </is>
      </c>
      <c r="G163" t="inlineStr">
        <is>
          <t>LILLA EDET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45098</v>
      </c>
      <c r="E164" s="1" t="n">
        <v>46303</v>
      </c>
      <c r="F164" t="inlineStr">
        <is>
          <t>VÄSTRA GÖTALANDS LÄN</t>
        </is>
      </c>
      <c r="G164" t="inlineStr">
        <is>
          <t>LILLA EDET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45008</v>
      </c>
      <c r="E165" s="1" t="n">
        <v>46303</v>
      </c>
      <c r="F165" t="inlineStr">
        <is>
          <t>VÄSTRA GÖTALANDS LÄN</t>
        </is>
      </c>
      <c r="G165" t="inlineStr">
        <is>
          <t>LILLA EDET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36773-2026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46272</v>
      </c>
      <c r="E166" s="1" t="n">
        <v>46303</v>
      </c>
      <c r="F166" t="inlineStr">
        <is>
          <t>VÄSTRA GÖTALANDS LÄN</t>
        </is>
      </c>
      <c r="G166" t="inlineStr">
        <is>
          <t>LILLA EDET</t>
        </is>
      </c>
      <c r="H166" t="inlineStr">
        <is>
          <t>Kommuner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8071-2024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45351</v>
      </c>
      <c r="E167" s="1" t="n">
        <v>46303</v>
      </c>
      <c r="F167" t="inlineStr">
        <is>
          <t>VÄSTRA GÖTALANDS LÄN</t>
        </is>
      </c>
      <c r="G167" t="inlineStr">
        <is>
          <t>LILLA EDET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36722-2026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46272</v>
      </c>
      <c r="E168" s="1" t="n">
        <v>46303</v>
      </c>
      <c r="F168" t="inlineStr">
        <is>
          <t>VÄSTRA GÖTALANDS LÄN</t>
        </is>
      </c>
      <c r="G168" t="inlineStr">
        <is>
          <t>LILLA EDET</t>
        </is>
      </c>
      <c r="H168" t="inlineStr">
        <is>
          <t>Kommuner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46303</v>
      </c>
      <c r="F169" t="inlineStr">
        <is>
          <t>VÄSTRA GÖTALANDS LÄN</t>
        </is>
      </c>
      <c r="G169" t="inlineStr">
        <is>
          <t>LILLA EDET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45296</v>
      </c>
      <c r="E170" s="1" t="n">
        <v>46303</v>
      </c>
      <c r="F170" t="inlineStr">
        <is>
          <t>VÄSTRA GÖTALANDS LÄN</t>
        </is>
      </c>
      <c r="G170" t="inlineStr">
        <is>
          <t>LILLA EDET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46273</v>
      </c>
      <c r="E171" s="1" t="n">
        <v>46303</v>
      </c>
      <c r="F171" t="inlineStr">
        <is>
          <t>VÄSTRA GÖTALANDS LÄN</t>
        </is>
      </c>
      <c r="G171" t="inlineStr">
        <is>
          <t>LILLA EDET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62730-2023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45268</v>
      </c>
      <c r="E172" s="1" t="n">
        <v>46303</v>
      </c>
      <c r="F172" t="inlineStr">
        <is>
          <t>VÄSTRA GÖTALANDS LÄN</t>
        </is>
      </c>
      <c r="G172" t="inlineStr">
        <is>
          <t>LILLA EDET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49879-2023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45213</v>
      </c>
      <c r="E173" s="1" t="n">
        <v>46303</v>
      </c>
      <c r="F173" t="inlineStr">
        <is>
          <t>VÄSTRA GÖTALANDS LÄN</t>
        </is>
      </c>
      <c r="G173" t="inlineStr">
        <is>
          <t>LILLA EDET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32822-2026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46242</v>
      </c>
      <c r="E174" s="1" t="n">
        <v>46303</v>
      </c>
      <c r="F174" t="inlineStr">
        <is>
          <t>VÄSTRA GÖTALANDS LÄN</t>
        </is>
      </c>
      <c r="G174" t="inlineStr">
        <is>
          <t>LILLA EDET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33842-2026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46251</v>
      </c>
      <c r="E175" s="1" t="n">
        <v>46303</v>
      </c>
      <c r="F175" t="inlineStr">
        <is>
          <t>VÄSTRA GÖTALANDS LÄN</t>
        </is>
      </c>
      <c r="G175" t="inlineStr">
        <is>
          <t>LILLA EDET</t>
        </is>
      </c>
      <c r="I175" t="n">
        <v>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>
      <c r="A176" t="inlineStr">
        <is>
          <t>S 460-2023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44964</v>
      </c>
      <c r="E176" s="1" t="n">
        <v>46303</v>
      </c>
      <c r="F176" t="inlineStr">
        <is>
          <t>VÄSTRA GÖTALANDS LÄN</t>
        </is>
      </c>
      <c r="G176" t="inlineStr">
        <is>
          <t>LILLA EDET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2026-10-08T02:04:20Z</dcterms:created>
  <dcterms:modified xmlns:dcterms="http://purl.org/dc/terms/" xmlns:xsi="http://www.w3.org/2001/XMLSchema-instance" xsi:type="dcterms:W3CDTF">2026-10-08T02:04:20Z</dcterms:modified>
</cp:coreProperties>
</file>