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45851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45851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45851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45851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45851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45851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45851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45851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45851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25298-2024</t>
        </is>
      </c>
      <c r="B11" s="1" t="n">
        <v>45462</v>
      </c>
      <c r="C11" s="1" t="n">
        <v>45851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5.9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Björksplintborre
Västlig hakmossa
Revlummer</t>
        </is>
      </c>
      <c r="S11">
        <f>HYPERLINK("https://klasma.github.io/Logging_1462/artfynd/A 25298-2024 artfynd.xlsx", "A 25298-2024")</f>
        <v/>
      </c>
      <c r="T11">
        <f>HYPERLINK("https://klasma.github.io/Logging_1462/kartor/A 25298-2024 karta.png", "A 25298-2024")</f>
        <v/>
      </c>
      <c r="V11">
        <f>HYPERLINK("https://klasma.github.io/Logging_1462/klagomål/A 25298-2024 FSC-klagomål.docx", "A 25298-2024")</f>
        <v/>
      </c>
      <c r="W11">
        <f>HYPERLINK("https://klasma.github.io/Logging_1462/klagomålsmail/A 25298-2024 FSC-klagomål mail.docx", "A 25298-2024")</f>
        <v/>
      </c>
      <c r="X11">
        <f>HYPERLINK("https://klasma.github.io/Logging_1462/tillsyn/A 25298-2024 tillsynsbegäran.docx", "A 25298-2024")</f>
        <v/>
      </c>
      <c r="Y11">
        <f>HYPERLINK("https://klasma.github.io/Logging_1462/tillsynsmail/A 25298-2024 tillsynsbegäran mail.docx", "A 25298-2024")</f>
        <v/>
      </c>
      <c r="Z11">
        <f>HYPERLINK("https://klasma.github.io/Logging_1462/fåglar/A 25298-2024 prioriterade fågelarter.docx", "A 25298-2024")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45851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5611-2024</t>
        </is>
      </c>
      <c r="B13" s="1" t="n">
        <v>45334</v>
      </c>
      <c r="C13" s="1" t="n">
        <v>45851</v>
      </c>
      <c r="D13" t="inlineStr">
        <is>
          <t>VÄSTRA GÖTALANDS LÄN</t>
        </is>
      </c>
      <c r="E13" t="inlineStr">
        <is>
          <t>LILLA EDET</t>
        </is>
      </c>
      <c r="G13" t="n">
        <v>11.8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Västlig hakmossa
Revlummer</t>
        </is>
      </c>
      <c r="S13">
        <f>HYPERLINK("https://klasma.github.io/Logging_1462/artfynd/A 5611-2024 artfynd.xlsx", "A 5611-2024")</f>
        <v/>
      </c>
      <c r="T13">
        <f>HYPERLINK("https://klasma.github.io/Logging_1462/kartor/A 5611-2024 karta.png", "A 5611-2024")</f>
        <v/>
      </c>
      <c r="V13">
        <f>HYPERLINK("https://klasma.github.io/Logging_1462/klagomål/A 5611-2024 FSC-klagomål.docx", "A 5611-2024")</f>
        <v/>
      </c>
      <c r="W13">
        <f>HYPERLINK("https://klasma.github.io/Logging_1462/klagomålsmail/A 5611-2024 FSC-klagomål mail.docx", "A 5611-2024")</f>
        <v/>
      </c>
      <c r="X13">
        <f>HYPERLINK("https://klasma.github.io/Logging_1462/tillsyn/A 5611-2024 tillsynsbegäran.docx", "A 5611-2024")</f>
        <v/>
      </c>
      <c r="Y13">
        <f>HYPERLINK("https://klasma.github.io/Logging_1462/tillsynsmail/A 5611-2024 tillsynsbegäran mail.docx", "A 5611-2024")</f>
        <v/>
      </c>
      <c r="Z13">
        <f>HYPERLINK("https://klasma.github.io/Logging_1462/fåglar/A 5611-2024 prioriterade fågelarter.docx", "A 5611-2024")</f>
        <v/>
      </c>
    </row>
    <row r="14" ht="15" customHeight="1">
      <c r="A14" t="inlineStr">
        <is>
          <t>A 11312-2020</t>
        </is>
      </c>
      <c r="B14" s="1" t="n">
        <v>43892</v>
      </c>
      <c r="C14" s="1" t="n">
        <v>45851</v>
      </c>
      <c r="D14" t="inlineStr">
        <is>
          <t>VÄSTRA GÖTALANDS LÄN</t>
        </is>
      </c>
      <c r="E14" t="inlineStr">
        <is>
          <t>LILLA EDET</t>
        </is>
      </c>
      <c r="G14" t="n">
        <v>11.3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Smal svampklubba</t>
        </is>
      </c>
      <c r="S14">
        <f>HYPERLINK("https://klasma.github.io/Logging_1462/artfynd/A 11312-2020 artfynd.xlsx", "A 11312-2020")</f>
        <v/>
      </c>
      <c r="T14">
        <f>HYPERLINK("https://klasma.github.io/Logging_1462/kartor/A 11312-2020 karta.png", "A 11312-2020")</f>
        <v/>
      </c>
      <c r="V14">
        <f>HYPERLINK("https://klasma.github.io/Logging_1462/klagomål/A 11312-2020 FSC-klagomål.docx", "A 11312-2020")</f>
        <v/>
      </c>
      <c r="W14">
        <f>HYPERLINK("https://klasma.github.io/Logging_1462/klagomålsmail/A 11312-2020 FSC-klagomål mail.docx", "A 11312-2020")</f>
        <v/>
      </c>
      <c r="X14">
        <f>HYPERLINK("https://klasma.github.io/Logging_1462/tillsyn/A 11312-2020 tillsynsbegäran.docx", "A 11312-2020")</f>
        <v/>
      </c>
      <c r="Y14">
        <f>HYPERLINK("https://klasma.github.io/Logging_1462/tillsynsmail/A 11312-2020 tillsynsbegäran mail.docx", "A 11312-2020")</f>
        <v/>
      </c>
    </row>
    <row r="15" ht="15" customHeight="1">
      <c r="A15" t="inlineStr">
        <is>
          <t>A 12972-2020</t>
        </is>
      </c>
      <c r="B15" s="1" t="n">
        <v>43900</v>
      </c>
      <c r="C15" s="1" t="n">
        <v>45851</v>
      </c>
      <c r="D15" t="inlineStr">
        <is>
          <t>VÄSTRA GÖTALANDS LÄN</t>
        </is>
      </c>
      <c r="E15" t="inlineStr">
        <is>
          <t>LILLA EDET</t>
        </is>
      </c>
      <c r="G15" t="n">
        <v>31.3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Platt fjädermossa</t>
        </is>
      </c>
      <c r="S15">
        <f>HYPERLINK("https://klasma.github.io/Logging_1462/artfynd/A 12972-2020 artfynd.xlsx", "A 12972-2020")</f>
        <v/>
      </c>
      <c r="T15">
        <f>HYPERLINK("https://klasma.github.io/Logging_1462/kartor/A 12972-2020 karta.png", "A 12972-2020")</f>
        <v/>
      </c>
      <c r="V15">
        <f>HYPERLINK("https://klasma.github.io/Logging_1462/klagomål/A 12972-2020 FSC-klagomål.docx", "A 12972-2020")</f>
        <v/>
      </c>
      <c r="W15">
        <f>HYPERLINK("https://klasma.github.io/Logging_1462/klagomålsmail/A 12972-2020 FSC-klagomål mail.docx", "A 12972-2020")</f>
        <v/>
      </c>
      <c r="X15">
        <f>HYPERLINK("https://klasma.github.io/Logging_1462/tillsyn/A 12972-2020 tillsynsbegäran.docx", "A 12972-2020")</f>
        <v/>
      </c>
      <c r="Y15">
        <f>HYPERLINK("https://klasma.github.io/Logging_1462/tillsynsmail/A 12972-2020 tillsynsbegäran mail.docx", "A 12972-2020")</f>
        <v/>
      </c>
    </row>
    <row r="16" ht="15" customHeight="1">
      <c r="A16" t="inlineStr">
        <is>
          <t>A 9099-2022</t>
        </is>
      </c>
      <c r="B16" s="1" t="n">
        <v>44615</v>
      </c>
      <c r="C16" s="1" t="n">
        <v>45851</v>
      </c>
      <c r="D16" t="inlineStr">
        <is>
          <t>VÄSTRA GÖTALANDS LÄN</t>
        </is>
      </c>
      <c r="E16" t="inlineStr">
        <is>
          <t>LILLA EDET</t>
        </is>
      </c>
      <c r="G16" t="n">
        <v>3.8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Liten havstulpanlav
Havstulpanlav</t>
        </is>
      </c>
      <c r="S16">
        <f>HYPERLINK("https://klasma.github.io/Logging_1462/artfynd/A 9099-2022 artfynd.xlsx", "A 9099-2022")</f>
        <v/>
      </c>
      <c r="T16">
        <f>HYPERLINK("https://klasma.github.io/Logging_1462/kartor/A 9099-2022 karta.png", "A 9099-2022")</f>
        <v/>
      </c>
      <c r="V16">
        <f>HYPERLINK("https://klasma.github.io/Logging_1462/klagomål/A 9099-2022 FSC-klagomål.docx", "A 9099-2022")</f>
        <v/>
      </c>
      <c r="W16">
        <f>HYPERLINK("https://klasma.github.io/Logging_1462/klagomålsmail/A 9099-2022 FSC-klagomål mail.docx", "A 9099-2022")</f>
        <v/>
      </c>
      <c r="X16">
        <f>HYPERLINK("https://klasma.github.io/Logging_1462/tillsyn/A 9099-2022 tillsynsbegäran.docx", "A 9099-2022")</f>
        <v/>
      </c>
      <c r="Y16">
        <f>HYPERLINK("https://klasma.github.io/Logging_1462/tillsynsmail/A 9099-2022 tillsynsbegäran mail.docx", "A 9099-2022")</f>
        <v/>
      </c>
    </row>
    <row r="17" ht="15" customHeight="1">
      <c r="A17" t="inlineStr">
        <is>
          <t>A 12617-2023</t>
        </is>
      </c>
      <c r="B17" s="1" t="n">
        <v>45000</v>
      </c>
      <c r="C17" s="1" t="n">
        <v>45851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12617-2023 artfynd.xlsx", "A 12617-2023")</f>
        <v/>
      </c>
      <c r="T17">
        <f>HYPERLINK("https://klasma.github.io/Logging_1462/kartor/A 12617-2023 karta.png", "A 12617-2023")</f>
        <v/>
      </c>
      <c r="V17">
        <f>HYPERLINK("https://klasma.github.io/Logging_1462/klagomål/A 12617-2023 FSC-klagomål.docx", "A 12617-2023")</f>
        <v/>
      </c>
      <c r="W17">
        <f>HYPERLINK("https://klasma.github.io/Logging_1462/klagomålsmail/A 12617-2023 FSC-klagomål mail.docx", "A 12617-2023")</f>
        <v/>
      </c>
      <c r="X17">
        <f>HYPERLINK("https://klasma.github.io/Logging_1462/tillsyn/A 12617-2023 tillsynsbegäran.docx", "A 12617-2023")</f>
        <v/>
      </c>
      <c r="Y17">
        <f>HYPERLINK("https://klasma.github.io/Logging_1462/tillsynsmail/A 12617-2023 tillsynsbegäran mail.docx", "A 12617-2023")</f>
        <v/>
      </c>
    </row>
    <row r="18" ht="15" customHeight="1">
      <c r="A18" t="inlineStr">
        <is>
          <t>A 434-2024</t>
        </is>
      </c>
      <c r="B18" s="1" t="n">
        <v>45296</v>
      </c>
      <c r="C18" s="1" t="n">
        <v>45851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HYPERLINK("https://klasma.github.io/Logging_1462/artfynd/A 434-2024 artfynd.xlsx", "A 434-2024")</f>
        <v/>
      </c>
      <c r="T18">
        <f>HYPERLINK("https://klasma.github.io/Logging_1462/kartor/A 434-2024 karta.png", "A 434-2024")</f>
        <v/>
      </c>
      <c r="V18">
        <f>HYPERLINK("https://klasma.github.io/Logging_1462/klagomål/A 434-2024 FSC-klagomål.docx", "A 434-2024")</f>
        <v/>
      </c>
      <c r="W18">
        <f>HYPERLINK("https://klasma.github.io/Logging_1462/klagomålsmail/A 434-2024 FSC-klagomål mail.docx", "A 434-2024")</f>
        <v/>
      </c>
      <c r="X18">
        <f>HYPERLINK("https://klasma.github.io/Logging_1462/tillsyn/A 434-2024 tillsynsbegäran.docx", "A 434-2024")</f>
        <v/>
      </c>
      <c r="Y18">
        <f>HYPERLINK("https://klasma.github.io/Logging_1462/tillsynsmail/A 434-2024 tillsynsbegäran mail.docx", "A 434-2024")</f>
        <v/>
      </c>
    </row>
    <row r="19" ht="15" customHeight="1">
      <c r="A19" t="inlineStr">
        <is>
          <t>A 8448-2024</t>
        </is>
      </c>
      <c r="B19" s="1" t="n">
        <v>45354</v>
      </c>
      <c r="C19" s="1" t="n">
        <v>45851</v>
      </c>
      <c r="D19" t="inlineStr">
        <is>
          <t>VÄSTRA GÖTALANDS LÄN</t>
        </is>
      </c>
      <c r="E19" t="inlineStr">
        <is>
          <t>LILLA EDET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Loppstarr
Dvärghäxört</t>
        </is>
      </c>
      <c r="S19">
        <f>HYPERLINK("https://klasma.github.io/Logging_1462/artfynd/A 8448-2024 artfynd.xlsx", "A 8448-2024")</f>
        <v/>
      </c>
      <c r="T19">
        <f>HYPERLINK("https://klasma.github.io/Logging_1462/kartor/A 8448-2024 karta.png", "A 8448-2024")</f>
        <v/>
      </c>
      <c r="V19">
        <f>HYPERLINK("https://klasma.github.io/Logging_1462/klagomål/A 8448-2024 FSC-klagomål.docx", "A 8448-2024")</f>
        <v/>
      </c>
      <c r="W19">
        <f>HYPERLINK("https://klasma.github.io/Logging_1462/klagomålsmail/A 8448-2024 FSC-klagomål mail.docx", "A 8448-2024")</f>
        <v/>
      </c>
      <c r="X19">
        <f>HYPERLINK("https://klasma.github.io/Logging_1462/tillsyn/A 8448-2024 tillsynsbegäran.docx", "A 8448-2024")</f>
        <v/>
      </c>
      <c r="Y19">
        <f>HYPERLINK("https://klasma.github.io/Logging_1462/tillsynsmail/A 8448-2024 tillsynsbegäran mail.docx", "A 8448-2024")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45851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30273-2022</t>
        </is>
      </c>
      <c r="B21" s="1" t="n">
        <v>44759</v>
      </c>
      <c r="C21" s="1" t="n">
        <v>45851</v>
      </c>
      <c r="D21" t="inlineStr">
        <is>
          <t>VÄSTRA GÖTALANDS LÄN</t>
        </is>
      </c>
      <c r="E21" t="inlineStr">
        <is>
          <t>LILLA EDET</t>
        </is>
      </c>
      <c r="G21" t="n">
        <v>12.5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HYPERLINK("https://klasma.github.io/Logging_1462/artfynd/A 30273-2022 artfynd.xlsx", "A 30273-2022")</f>
        <v/>
      </c>
      <c r="T21">
        <f>HYPERLINK("https://klasma.github.io/Logging_1462/kartor/A 30273-2022 karta.png", "A 30273-2022")</f>
        <v/>
      </c>
      <c r="V21">
        <f>HYPERLINK("https://klasma.github.io/Logging_1462/klagomål/A 30273-2022 FSC-klagomål.docx", "A 30273-2022")</f>
        <v/>
      </c>
      <c r="W21">
        <f>HYPERLINK("https://klasma.github.io/Logging_1462/klagomålsmail/A 30273-2022 FSC-klagomål mail.docx", "A 30273-2022")</f>
        <v/>
      </c>
      <c r="X21">
        <f>HYPERLINK("https://klasma.github.io/Logging_1462/tillsyn/A 30273-2022 tillsynsbegäran.docx", "A 30273-2022")</f>
        <v/>
      </c>
      <c r="Y21">
        <f>HYPERLINK("https://klasma.github.io/Logging_1462/tillsynsmail/A 30273-2022 tillsynsbegäran mail.docx", "A 30273-2022")</f>
        <v/>
      </c>
      <c r="Z21">
        <f>HYPERLINK("https://klasma.github.io/Logging_1462/fåglar/A 30273-2022 prioriterade fågelarter.docx", "A 30273-2022")</f>
        <v/>
      </c>
    </row>
    <row r="22" ht="15" customHeight="1">
      <c r="A22" t="inlineStr">
        <is>
          <t>A 25655-2023</t>
        </is>
      </c>
      <c r="B22" s="1" t="n">
        <v>45089</v>
      </c>
      <c r="C22" s="1" t="n">
        <v>45851</v>
      </c>
      <c r="D22" t="inlineStr">
        <is>
          <t>VÄSTRA GÖTALANDS LÄN</t>
        </is>
      </c>
      <c r="E22" t="inlineStr">
        <is>
          <t>LILLA EDET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Bergjohannesört</t>
        </is>
      </c>
      <c r="S22">
        <f>HYPERLINK("https://klasma.github.io/Logging_1462/artfynd/A 25655-2023 artfynd.xlsx", "A 25655-2023")</f>
        <v/>
      </c>
      <c r="T22">
        <f>HYPERLINK("https://klasma.github.io/Logging_1462/kartor/A 25655-2023 karta.png", "A 25655-2023")</f>
        <v/>
      </c>
      <c r="V22">
        <f>HYPERLINK("https://klasma.github.io/Logging_1462/klagomål/A 25655-2023 FSC-klagomål.docx", "A 25655-2023")</f>
        <v/>
      </c>
      <c r="W22">
        <f>HYPERLINK("https://klasma.github.io/Logging_1462/klagomålsmail/A 25655-2023 FSC-klagomål mail.docx", "A 25655-2023")</f>
        <v/>
      </c>
      <c r="X22">
        <f>HYPERLINK("https://klasma.github.io/Logging_1462/tillsyn/A 25655-2023 tillsynsbegäran.docx", "A 25655-2023")</f>
        <v/>
      </c>
      <c r="Y22">
        <f>HYPERLINK("https://klasma.github.io/Logging_1462/tillsynsmail/A 25655-2023 tillsynsbegäran mail.docx", "A 25655-2023")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45851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15351-2024</t>
        </is>
      </c>
      <c r="B24" s="1" t="n">
        <v>45400</v>
      </c>
      <c r="C24" s="1" t="n">
        <v>45851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HYPERLINK("https://klasma.github.io/Logging_1462/artfynd/A 15351-2024 artfynd.xlsx", "A 15351-2024")</f>
        <v/>
      </c>
      <c r="T24">
        <f>HYPERLINK("https://klasma.github.io/Logging_1462/kartor/A 15351-2024 karta.png", "A 15351-2024")</f>
        <v/>
      </c>
      <c r="V24">
        <f>HYPERLINK("https://klasma.github.io/Logging_1462/klagomål/A 15351-2024 FSC-klagomål.docx", "A 15351-2024")</f>
        <v/>
      </c>
      <c r="W24">
        <f>HYPERLINK("https://klasma.github.io/Logging_1462/klagomålsmail/A 15351-2024 FSC-klagomål mail.docx", "A 15351-2024")</f>
        <v/>
      </c>
      <c r="X24">
        <f>HYPERLINK("https://klasma.github.io/Logging_1462/tillsyn/A 15351-2024 tillsynsbegäran.docx", "A 15351-2024")</f>
        <v/>
      </c>
      <c r="Y24">
        <f>HYPERLINK("https://klasma.github.io/Logging_1462/tillsynsmail/A 15351-2024 tillsynsbegäran mail.docx", "A 15351-2024")</f>
        <v/>
      </c>
    </row>
    <row r="25" ht="15" customHeight="1">
      <c r="A25" t="inlineStr">
        <is>
          <t>A 21452-2024</t>
        </is>
      </c>
      <c r="B25" s="1" t="n">
        <v>45441</v>
      </c>
      <c r="C25" s="1" t="n">
        <v>45851</v>
      </c>
      <c r="D25" t="inlineStr">
        <is>
          <t>VÄSTRA GÖTALANDS LÄN</t>
        </is>
      </c>
      <c r="E25" t="inlineStr">
        <is>
          <t>LILLA EDET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HYPERLINK("https://klasma.github.io/Logging_1462/artfynd/A 21452-2024 artfynd.xlsx", "A 21452-2024")</f>
        <v/>
      </c>
      <c r="T25">
        <f>HYPERLINK("https://klasma.github.io/Logging_1462/kartor/A 21452-2024 karta.png", "A 21452-2024")</f>
        <v/>
      </c>
      <c r="V25">
        <f>HYPERLINK("https://klasma.github.io/Logging_1462/klagomål/A 21452-2024 FSC-klagomål.docx", "A 21452-2024")</f>
        <v/>
      </c>
      <c r="W25">
        <f>HYPERLINK("https://klasma.github.io/Logging_1462/klagomålsmail/A 21452-2024 FSC-klagomål mail.docx", "A 21452-2024")</f>
        <v/>
      </c>
      <c r="X25">
        <f>HYPERLINK("https://klasma.github.io/Logging_1462/tillsyn/A 21452-2024 tillsynsbegäran.docx", "A 21452-2024")</f>
        <v/>
      </c>
      <c r="Y25">
        <f>HYPERLINK("https://klasma.github.io/Logging_1462/tillsynsmail/A 21452-2024 tillsynsbegäran mail.docx", "A 21452-2024")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45851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45851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45851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45851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45851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45851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45851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45851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45851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45851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45851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45851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45851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45851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45851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45851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45851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45851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45851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45851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45851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45851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45851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45851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45851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45851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45851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45851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45851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45851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45851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45851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45851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45851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45851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45851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45851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45851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45851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45851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45851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45851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45851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45851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45851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45851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45851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45851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45851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45851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45851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45851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45851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45851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45851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45851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45851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45851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45851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45851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45851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45851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45851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45851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45851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45851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45851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45851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45851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45851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45851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45851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45851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45851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45851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45851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45851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45851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45851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45851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45851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45851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45851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45851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45851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45851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45851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45851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45851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45851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45851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45851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45851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45851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45851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45851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45851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45851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45851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45851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45851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45851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45851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45851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45851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45851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45851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45851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45851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45851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45851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45851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45851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45851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45851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45851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45851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45851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45851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45851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45851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45851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45851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45851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45851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45851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45851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45851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45851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45851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45851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45851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45851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45851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45851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45851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45851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45851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45851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45851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45851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45851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45851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45851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45851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45851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45851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45851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45851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45851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45851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45851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45851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45851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45851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45851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45851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45851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45851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45851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45851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45851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45851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45851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45851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45851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45851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45851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45851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45851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45851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45851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45851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45851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45851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45851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45851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45851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45851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45851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45851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45851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45851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45851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45851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45851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45851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45851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45851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45851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45851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45851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45851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45851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45851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45851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45851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45851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45851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45851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45851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45851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45851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45851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45851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45851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45851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45851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45851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45851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45851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45851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45851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45851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45851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45851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45851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45851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45851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45851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45851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45851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45851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45851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45851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45851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45851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45851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45851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45851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45851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45851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45851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45851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45851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45851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45851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45851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45851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45851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45851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45851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45851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45851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45851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45851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45851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45851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45851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45851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45851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45851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45851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45851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45851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45851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45851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45851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45851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45851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45851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45851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45851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45851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45851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45851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45851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45851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45851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45851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45851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45851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45851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45851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45851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45851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45851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45851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45851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45851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45851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45851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45851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45851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45851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45851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45851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45851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45851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45851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45851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45851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45851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45851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45851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45851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45851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45851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45851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45851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45851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28515-2025</t>
        </is>
      </c>
      <c r="B327" s="1" t="n">
        <v>45819</v>
      </c>
      <c r="C327" s="1" t="n">
        <v>45851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28512-2025</t>
        </is>
      </c>
      <c r="B328" s="1" t="n">
        <v>45819</v>
      </c>
      <c r="C328" s="1" t="n">
        <v>45851</v>
      </c>
      <c r="D328" t="inlineStr">
        <is>
          <t>VÄSTRA GÖTALANDS LÄN</t>
        </is>
      </c>
      <c r="E328" t="inlineStr">
        <is>
          <t>LILLA EDET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45851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2025-07-13T19:49:09Z</dcterms:created>
  <dcterms:modified xmlns:dcterms="http://purl.org/dc/terms/" xmlns:xsi="http://www.w3.org/2001/XMLSchema-instance" xsi:type="dcterms:W3CDTF">2025-07-13T19:49:09Z</dcterms:modified>
</cp:coreProperties>
</file>