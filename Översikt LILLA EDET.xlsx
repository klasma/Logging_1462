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46217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s="2" t="inlineStr">
        <is>
          <t>Tornseglare
Järnsparv
Ladusvala
Talltita
Blåmossa
Klippfrullania
Västlig hakmossa
Vågbandad barkbock
Nattskärra
Spillkråka
Tofsmes
Kungsfågel
Svartvit flugsnappare</t>
        </is>
      </c>
      <c r="V2">
        <f>HYPERLINK("https://klasma.github.io/Logging_1462/artfynd/A 24289-2026 artfynd.xlsx", "A 24289-2026")</f>
        <v/>
      </c>
      <c r="W2">
        <f>HYPERLINK("https://klasma.github.io/Logging_1462/kartor/A 24289-2026 karta.png", "A 24289-2026")</f>
        <v/>
      </c>
      <c r="Y2">
        <f>HYPERLINK("https://klasma.github.io/Logging_1462/klagomål/A 24289-2026 FSC-klagomål.docx", "A 24289-2026")</f>
        <v/>
      </c>
      <c r="Z2">
        <f>HYPERLINK("https://klasma.github.io/Logging_1462/klagomålsmail/A 24289-2026 FSC-klagomål mail.docx", "A 24289-2026")</f>
        <v/>
      </c>
      <c r="AA2">
        <f>HYPERLINK("https://klasma.github.io/Logging_1462/tillsyn/A 24289-2026 tillsynsbegäran.docx", "A 24289-2026")</f>
        <v/>
      </c>
      <c r="AB2">
        <f>HYPERLINK("https://klasma.github.io/Logging_1462/tillsynsmail/A 24289-2026 tillsynsbegäran mail.docx", "A 24289-2026")</f>
        <v/>
      </c>
      <c r="AC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46217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s="2" t="inlineStr">
        <is>
          <t>Grönfink
Entita
Grönsångare
Gulsparv
Järnsparv
Mindre hackspett
Talltita
Västlig hakmossa
Spillkråka
Revlummer</t>
        </is>
      </c>
      <c r="V3">
        <f>HYPERLINK("https://klasma.github.io/Logging_1462/artfynd/A 434-2024 artfynd.xlsx", "A 434-2024")</f>
        <v/>
      </c>
      <c r="W3">
        <f>HYPERLINK("https://klasma.github.io/Logging_1462/kartor/A 434-2024 karta.png", "A 434-2024")</f>
        <v/>
      </c>
      <c r="Y3">
        <f>HYPERLINK("https://klasma.github.io/Logging_1462/klagomål/A 434-2024 FSC-klagomål.docx", "A 434-2024")</f>
        <v/>
      </c>
      <c r="Z3">
        <f>HYPERLINK("https://klasma.github.io/Logging_1462/klagomålsmail/A 434-2024 FSC-klagomål mail.docx", "A 434-2024")</f>
        <v/>
      </c>
      <c r="AA3">
        <f>HYPERLINK("https://klasma.github.io/Logging_1462/tillsyn/A 434-2024 tillsynsbegäran.docx", "A 434-2024")</f>
        <v/>
      </c>
      <c r="AB3">
        <f>HYPERLINK("https://klasma.github.io/Logging_1462/tillsynsmail/A 434-2024 tillsynsbegäran mail.docx", "A 434-2024")</f>
        <v/>
      </c>
      <c r="AC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46217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s="2" t="inlineStr">
        <is>
          <t>Fällmossa
Havstulpanlav
Kambräken
Klippfrullania
Stor revmossa
Västlig hakmossa
Spillkråka
Tjäder
Revlummer</t>
        </is>
      </c>
      <c r="V4">
        <f>HYPERLINK("https://klasma.github.io/Logging_1462/artfynd/A 315-2024 artfynd.xlsx", "A 315-2024")</f>
        <v/>
      </c>
      <c r="W4">
        <f>HYPERLINK("https://klasma.github.io/Logging_1462/kartor/A 315-2024 karta.png", "A 315-2024")</f>
        <v/>
      </c>
      <c r="Y4">
        <f>HYPERLINK("https://klasma.github.io/Logging_1462/klagomål/A 315-2024 FSC-klagomål.docx", "A 315-2024")</f>
        <v/>
      </c>
      <c r="Z4">
        <f>HYPERLINK("https://klasma.github.io/Logging_1462/klagomålsmail/A 315-2024 FSC-klagomål mail.docx", "A 315-2024")</f>
        <v/>
      </c>
      <c r="AA4">
        <f>HYPERLINK("https://klasma.github.io/Logging_1462/tillsyn/A 315-2024 tillsynsbegäran.docx", "A 315-2024")</f>
        <v/>
      </c>
      <c r="AB4">
        <f>HYPERLINK("https://klasma.github.io/Logging_1462/tillsynsmail/A 315-2024 tillsynsbegäran mail.docx", "A 315-2024")</f>
        <v/>
      </c>
      <c r="AC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46217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s="2" t="inlineStr">
        <is>
          <t>Dofttaggsvamp
Blåmossa
Klippfrullania
Stor revmossa
Västlig hakmossa
Mattlummer
Spillkråka
Revlummer</t>
        </is>
      </c>
      <c r="V5">
        <f>HYPERLINK("https://klasma.github.io/Logging_1462/artfynd/A 30285-2025 artfynd.xlsx", "A 30285-2025")</f>
        <v/>
      </c>
      <c r="W5">
        <f>HYPERLINK("https://klasma.github.io/Logging_1462/kartor/A 30285-2025 karta.png", "A 30285-2025")</f>
        <v/>
      </c>
      <c r="Y5">
        <f>HYPERLINK("https://klasma.github.io/Logging_1462/klagomål/A 30285-2025 FSC-klagomål.docx", "A 30285-2025")</f>
        <v/>
      </c>
      <c r="Z5">
        <f>HYPERLINK("https://klasma.github.io/Logging_1462/klagomålsmail/A 30285-2025 FSC-klagomål mail.docx", "A 30285-2025")</f>
        <v/>
      </c>
      <c r="AA5">
        <f>HYPERLINK("https://klasma.github.io/Logging_1462/tillsyn/A 30285-2025 tillsynsbegäran.docx", "A 30285-2025")</f>
        <v/>
      </c>
      <c r="AB5">
        <f>HYPERLINK("https://klasma.github.io/Logging_1462/tillsynsmail/A 30285-2025 tillsynsbegäran mail.docx", "A 30285-2025")</f>
        <v/>
      </c>
      <c r="AC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46217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s="2" t="inlineStr">
        <is>
          <t>Kattfotslav
Blåmossa
Fällmossa
Klippfrullania
Stor revmossa
Västlig hakmossa
Spillkråka
Revlummer</t>
        </is>
      </c>
      <c r="V6">
        <f>HYPERLINK("https://klasma.github.io/Logging_1462/artfynd/A 318-2024 artfynd.xlsx", "A 318-2024")</f>
        <v/>
      </c>
      <c r="W6">
        <f>HYPERLINK("https://klasma.github.io/Logging_1462/kartor/A 318-2024 karta.png", "A 318-2024")</f>
        <v/>
      </c>
      <c r="Y6">
        <f>HYPERLINK("https://klasma.github.io/Logging_1462/klagomål/A 318-2024 FSC-klagomål.docx", "A 318-2024")</f>
        <v/>
      </c>
      <c r="Z6">
        <f>HYPERLINK("https://klasma.github.io/Logging_1462/klagomålsmail/A 318-2024 FSC-klagomål mail.docx", "A 318-2024")</f>
        <v/>
      </c>
      <c r="AA6">
        <f>HYPERLINK("https://klasma.github.io/Logging_1462/tillsyn/A 318-2024 tillsynsbegäran.docx", "A 318-2024")</f>
        <v/>
      </c>
      <c r="AB6">
        <f>HYPERLINK("https://klasma.github.io/Logging_1462/tillsynsmail/A 318-2024 tillsynsbegäran mail.docx", "A 318-2024")</f>
        <v/>
      </c>
      <c r="AC6">
        <f>HYPERLINK("https://klasma.github.io/Logging_1462/fåglar/A 318-2024 prioriterade fågelarter.docx", "A 318-2024")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46217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s="2" t="inlineStr">
        <is>
          <t>Björksplintborre
Blåmossa
Kambräken
Stor revmossa
Västlig hakmossa
Spillkråka
Revlummer</t>
        </is>
      </c>
      <c r="V7">
        <f>HYPERLINK("https://klasma.github.io/Logging_1462/artfynd/A 34396-2023 artfynd.xlsx", "A 34396-2023")</f>
        <v/>
      </c>
      <c r="W7">
        <f>HYPERLINK("https://klasma.github.io/Logging_1462/kartor/A 34396-2023 karta.png", "A 34396-2023")</f>
        <v/>
      </c>
      <c r="Y7">
        <f>HYPERLINK("https://klasma.github.io/Logging_1462/klagomål/A 34396-2023 FSC-klagomål.docx", "A 34396-2023")</f>
        <v/>
      </c>
      <c r="Z7">
        <f>HYPERLINK("https://klasma.github.io/Logging_1462/klagomålsmail/A 34396-2023 FSC-klagomål mail.docx", "A 34396-2023")</f>
        <v/>
      </c>
      <c r="AA7">
        <f>HYPERLINK("https://klasma.github.io/Logging_1462/tillsyn/A 34396-2023 tillsynsbegäran.docx", "A 34396-2023")</f>
        <v/>
      </c>
      <c r="AB7">
        <f>HYPERLINK("https://klasma.github.io/Logging_1462/tillsynsmail/A 34396-2023 tillsynsbegäran mail.docx", "A 34396-2023")</f>
        <v/>
      </c>
      <c r="AC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46217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s="2" t="inlineStr">
        <is>
          <t>Kattfotslav
Blåmossa
Bronshjon
Stor revmossa
Vågbandad barkbock
Större vattensalamander
Revlummer</t>
        </is>
      </c>
      <c r="V8">
        <f>HYPERLINK("https://klasma.github.io/Logging_1462/artfynd/A 62846-2023 artfynd.xlsx", "A 62846-2023")</f>
        <v/>
      </c>
      <c r="W8">
        <f>HYPERLINK("https://klasma.github.io/Logging_1462/kartor/A 62846-2023 karta.png", "A 62846-2023")</f>
        <v/>
      </c>
      <c r="Y8">
        <f>HYPERLINK("https://klasma.github.io/Logging_1462/klagomål/A 62846-2023 FSC-klagomål.docx", "A 62846-2023")</f>
        <v/>
      </c>
      <c r="Z8">
        <f>HYPERLINK("https://klasma.github.io/Logging_1462/klagomålsmail/A 62846-2023 FSC-klagomål mail.docx", "A 62846-2023")</f>
        <v/>
      </c>
      <c r="AA8">
        <f>HYPERLINK("https://klasma.github.io/Logging_1462/tillsyn/A 62846-2023 tillsynsbegäran.docx", "A 62846-2023")</f>
        <v/>
      </c>
      <c r="AB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46217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s="2" t="inlineStr">
        <is>
          <t>Sårläka
Älg
Västlig hakmossa
Vätteros
Spillkråka
Revlummer</t>
        </is>
      </c>
      <c r="V9">
        <f>HYPERLINK("https://klasma.github.io/Logging_1462/artfynd/A 2437-2026 artfynd.xlsx", "A 2437-2026")</f>
        <v/>
      </c>
      <c r="W9">
        <f>HYPERLINK("https://klasma.github.io/Logging_1462/kartor/A 2437-2026 karta.png", "A 2437-2026")</f>
        <v/>
      </c>
      <c r="Y9">
        <f>HYPERLINK("https://klasma.github.io/Logging_1462/klagomål/A 2437-2026 FSC-klagomål.docx", "A 2437-2026")</f>
        <v/>
      </c>
      <c r="Z9">
        <f>HYPERLINK("https://klasma.github.io/Logging_1462/klagomålsmail/A 2437-2026 FSC-klagomål mail.docx", "A 2437-2026")</f>
        <v/>
      </c>
      <c r="AA9">
        <f>HYPERLINK("https://klasma.github.io/Logging_1462/tillsyn/A 2437-2026 tillsynsbegäran.docx", "A 2437-2026")</f>
        <v/>
      </c>
      <c r="AB9">
        <f>HYPERLINK("https://klasma.github.io/Logging_1462/tillsynsmail/A 2437-2026 tillsynsbegäran mail.docx", "A 2437-2026")</f>
        <v/>
      </c>
      <c r="AC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46217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s="2" t="inlineStr">
        <is>
          <t>Klippfrullania
Stor revmossa
Västlig hakmossa
Spillkråka
Revlummer</t>
        </is>
      </c>
      <c r="V10">
        <f>HYPERLINK("https://klasma.github.io/Logging_1462/artfynd/A 4017-2026 artfynd.xlsx", "A 4017-2026")</f>
        <v/>
      </c>
      <c r="W10">
        <f>HYPERLINK("https://klasma.github.io/Logging_1462/kartor/A 4017-2026 karta.png", "A 4017-2026")</f>
        <v/>
      </c>
      <c r="Y10">
        <f>HYPERLINK("https://klasma.github.io/Logging_1462/klagomål/A 4017-2026 FSC-klagomål.docx", "A 4017-2026")</f>
        <v/>
      </c>
      <c r="Z10">
        <f>HYPERLINK("https://klasma.github.io/Logging_1462/klagomålsmail/A 4017-2026 FSC-klagomål mail.docx", "A 4017-2026")</f>
        <v/>
      </c>
      <c r="AA10">
        <f>HYPERLINK("https://klasma.github.io/Logging_1462/tillsyn/A 4017-2026 tillsynsbegäran.docx", "A 4017-2026")</f>
        <v/>
      </c>
      <c r="AB10">
        <f>HYPERLINK("https://klasma.github.io/Logging_1462/tillsynsmail/A 4017-2026 tillsynsbegäran mail.docx", "A 4017-2026")</f>
        <v/>
      </c>
      <c r="AC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46217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s="2" t="inlineStr">
        <is>
          <t>Björksplintborre
Västlig hakmossa
Spillkråka
Revlummer</t>
        </is>
      </c>
      <c r="V11">
        <f>HYPERLINK("https://klasma.github.io/Logging_1462/artfynd/A 25298-2024 artfynd.xlsx", "A 25298-2024")</f>
        <v/>
      </c>
      <c r="W11">
        <f>HYPERLINK("https://klasma.github.io/Logging_1462/kartor/A 25298-2024 karta.png", "A 25298-2024")</f>
        <v/>
      </c>
      <c r="Y11">
        <f>HYPERLINK("https://klasma.github.io/Logging_1462/klagomål/A 25298-2024 FSC-klagomål.docx", "A 25298-2024")</f>
        <v/>
      </c>
      <c r="Z11">
        <f>HYPERLINK("https://klasma.github.io/Logging_1462/klagomålsmail/A 25298-2024 FSC-klagomål mail.docx", "A 25298-2024")</f>
        <v/>
      </c>
      <c r="AA11">
        <f>HYPERLINK("https://klasma.github.io/Logging_1462/tillsyn/A 25298-2024 tillsynsbegäran.docx", "A 25298-2024")</f>
        <v/>
      </c>
      <c r="AB11">
        <f>HYPERLINK("https://klasma.github.io/Logging_1462/tillsynsmail/A 25298-2024 tillsynsbegäran mail.docx", "A 25298-2024")</f>
        <v/>
      </c>
      <c r="AC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46217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s="2" t="inlineStr">
        <is>
          <t>Blåmossa
Västlig hakmossa
Spillkråka
Tjäder</t>
        </is>
      </c>
      <c r="V12">
        <f>HYPERLINK("https://klasma.github.io/Logging_1462/artfynd/A 28512-2025 artfynd.xlsx", "A 28512-2025")</f>
        <v/>
      </c>
      <c r="W12">
        <f>HYPERLINK("https://klasma.github.io/Logging_1462/kartor/A 28512-2025 karta.png", "A 28512-2025")</f>
        <v/>
      </c>
      <c r="Y12">
        <f>HYPERLINK("https://klasma.github.io/Logging_1462/klagomål/A 28512-2025 FSC-klagomål.docx", "A 28512-2025")</f>
        <v/>
      </c>
      <c r="Z12">
        <f>HYPERLINK("https://klasma.github.io/Logging_1462/klagomålsmail/A 28512-2025 FSC-klagomål mail.docx", "A 28512-2025")</f>
        <v/>
      </c>
      <c r="AA12">
        <f>HYPERLINK("https://klasma.github.io/Logging_1462/tillsyn/A 28512-2025 tillsynsbegäran.docx", "A 28512-2025")</f>
        <v/>
      </c>
      <c r="AB12">
        <f>HYPERLINK("https://klasma.github.io/Logging_1462/tillsynsmail/A 28512-2025 tillsynsbegäran mail.docx", "A 28512-2025")</f>
        <v/>
      </c>
      <c r="AC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46217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s="2" t="inlineStr">
        <is>
          <t>Blanksvart trämyra
Grönpyrola
Västlig hakmossa
Spillkråka</t>
        </is>
      </c>
      <c r="V13">
        <f>HYPERLINK("https://klasma.github.io/Logging_1462/artfynd/A 24290-2026 artfynd.xlsx", "A 24290-2026")</f>
        <v/>
      </c>
      <c r="W13">
        <f>HYPERLINK("https://klasma.github.io/Logging_1462/kartor/A 24290-2026 karta.png", "A 24290-2026")</f>
        <v/>
      </c>
      <c r="Y13">
        <f>HYPERLINK("https://klasma.github.io/Logging_1462/klagomål/A 24290-2026 FSC-klagomål.docx", "A 24290-2026")</f>
        <v/>
      </c>
      <c r="Z13">
        <f>HYPERLINK("https://klasma.github.io/Logging_1462/klagomålsmail/A 24290-2026 FSC-klagomål mail.docx", "A 24290-2026")</f>
        <v/>
      </c>
      <c r="AA13">
        <f>HYPERLINK("https://klasma.github.io/Logging_1462/tillsyn/A 24290-2026 tillsynsbegäran.docx", "A 24290-2026")</f>
        <v/>
      </c>
      <c r="AB13">
        <f>HYPERLINK("https://klasma.github.io/Logging_1462/tillsynsmail/A 24290-2026 tillsynsbegäran mail.docx", "A 24290-2026")</f>
        <v/>
      </c>
      <c r="AC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46217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s="2" t="inlineStr">
        <is>
          <t>Nordfladdermus
Dvärgpipistrell
Vattenfladdermus
Grönvit nattviol</t>
        </is>
      </c>
      <c r="V14">
        <f>HYPERLINK("https://klasma.github.io/Logging_1462/artfynd/A 23563-2023 artfynd.xlsx", "A 23563-2023")</f>
        <v/>
      </c>
      <c r="W14">
        <f>HYPERLINK("https://klasma.github.io/Logging_1462/kartor/A 23563-2023 karta.png", "A 23563-2023")</f>
        <v/>
      </c>
      <c r="Y14">
        <f>HYPERLINK("https://klasma.github.io/Logging_1462/klagomål/A 23563-2023 FSC-klagomål.docx", "A 23563-2023")</f>
        <v/>
      </c>
      <c r="Z14">
        <f>HYPERLINK("https://klasma.github.io/Logging_1462/klagomålsmail/A 23563-2023 FSC-klagomål mail.docx", "A 23563-2023")</f>
        <v/>
      </c>
      <c r="AA14">
        <f>HYPERLINK("https://klasma.github.io/Logging_1462/tillsyn/A 23563-2023 tillsynsbegäran.docx", "A 23563-2023")</f>
        <v/>
      </c>
      <c r="AB14">
        <f>HYPERLINK("https://klasma.github.io/Logging_1462/tillsynsmail/A 23563-2023 tillsynsbegäran mail.docx", "A 23563-2023")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46217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s="2" t="inlineStr">
        <is>
          <t>Ask
Slåtterfibbla
Vätteros
Blåsippa</t>
        </is>
      </c>
      <c r="V15">
        <f>HYPERLINK("https://klasma.github.io/Logging_1462/artfynd/A 43771-2023 artfynd.xlsx", "A 43771-2023")</f>
        <v/>
      </c>
      <c r="W15">
        <f>HYPERLINK("https://klasma.github.io/Logging_1462/kartor/A 43771-2023 karta.png", "A 43771-2023")</f>
        <v/>
      </c>
      <c r="Y15">
        <f>HYPERLINK("https://klasma.github.io/Logging_1462/klagomål/A 43771-2023 FSC-klagomål.docx", "A 43771-2023")</f>
        <v/>
      </c>
      <c r="Z15">
        <f>HYPERLINK("https://klasma.github.io/Logging_1462/klagomålsmail/A 43771-2023 FSC-klagomål mail.docx", "A 43771-2023")</f>
        <v/>
      </c>
      <c r="AA15">
        <f>HYPERLINK("https://klasma.github.io/Logging_1462/tillsyn/A 43771-2023 tillsynsbegäran.docx", "A 43771-2023")</f>
        <v/>
      </c>
      <c r="AB15">
        <f>HYPERLINK("https://klasma.github.io/Logging_1462/tillsynsmail/A 43771-2023 tillsynsbegäran mail.docx", "A 43771-2023")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46217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Stor revmossa
Nattskärra
Törnskata</t>
        </is>
      </c>
      <c r="V16">
        <f>HYPERLINK("https://klasma.github.io/Logging_1462/artfynd/A 28021-2023 artfynd.xlsx", "A 28021-2023")</f>
        <v/>
      </c>
      <c r="W16">
        <f>HYPERLINK("https://klasma.github.io/Logging_1462/kartor/A 28021-2023 karta.png", "A 28021-2023")</f>
        <v/>
      </c>
      <c r="Y16">
        <f>HYPERLINK("https://klasma.github.io/Logging_1462/klagomål/A 28021-2023 FSC-klagomål.docx", "A 28021-2023")</f>
        <v/>
      </c>
      <c r="Z16">
        <f>HYPERLINK("https://klasma.github.io/Logging_1462/klagomålsmail/A 28021-2023 FSC-klagomål mail.docx", "A 28021-2023")</f>
        <v/>
      </c>
      <c r="AA16">
        <f>HYPERLINK("https://klasma.github.io/Logging_1462/tillsyn/A 28021-2023 tillsynsbegäran.docx", "A 28021-2023")</f>
        <v/>
      </c>
      <c r="AB16">
        <f>HYPERLINK("https://klasma.github.io/Logging_1462/tillsynsmail/A 28021-2023 tillsynsbegäran mail.docx", "A 28021-2023")</f>
        <v/>
      </c>
      <c r="AC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46217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8</v>
      </c>
      <c r="U17" s="2" t="inlineStr">
        <is>
          <t>Bergjohannesört
Svinrot
Fläcknycklar</t>
        </is>
      </c>
      <c r="V17">
        <f>HYPERLINK("https://klasma.github.io/Logging_1462/artfynd/A 25655-2023 artfynd.xlsx", "A 25655-2023")</f>
        <v/>
      </c>
      <c r="W17">
        <f>HYPERLINK("https://klasma.github.io/Logging_1462/kartor/A 25655-2023 karta.png", "A 25655-2023")</f>
        <v/>
      </c>
      <c r="Y17">
        <f>HYPERLINK("https://klasma.github.io/Logging_1462/klagomål/A 25655-2023 FSC-klagomål.docx", "A 25655-2023")</f>
        <v/>
      </c>
      <c r="Z17">
        <f>HYPERLINK("https://klasma.github.io/Logging_1462/klagomålsmail/A 25655-2023 FSC-klagomål mail.docx", "A 25655-2023")</f>
        <v/>
      </c>
      <c r="AA17">
        <f>HYPERLINK("https://klasma.github.io/Logging_1462/tillsyn/A 25655-2023 tillsynsbegäran.docx", "A 25655-2023")</f>
        <v/>
      </c>
      <c r="AB17">
        <f>HYPERLINK("https://klasma.github.io/Logging_1462/tillsynsmail/A 25655-2023 tillsynsbegäran mail.docx", "A 25655-2023")</f>
        <v/>
      </c>
    </row>
    <row r="18" ht="15" customHeight="1">
      <c r="A18" t="inlineStr">
        <is>
          <t>A 5834-2026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46217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9.9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9</v>
      </c>
      <c r="U18" s="2" t="inlineStr">
        <is>
          <t>Knärot
Havstulpanlav
Tjäder</t>
        </is>
      </c>
      <c r="V18">
        <f>HYPERLINK("https://klasma.github.io/Logging_1462/artfynd/A 5834-2026 artfynd.xlsx", "A 5834-2026")</f>
        <v/>
      </c>
      <c r="W18">
        <f>HYPERLINK("https://klasma.github.io/Logging_1462/kartor/A 5834-2026 karta.png", "A 5834-2026")</f>
        <v/>
      </c>
      <c r="X18">
        <f>HYPERLINK("https://klasma.github.io/Logging_1462/knärot/A 5834-2026 karta knärot.png", "A 5834-2026")</f>
        <v/>
      </c>
      <c r="Y18">
        <f>HYPERLINK("https://klasma.github.io/Logging_1462/klagomål/A 5834-2026 FSC-klagomål.docx", "A 5834-2026")</f>
        <v/>
      </c>
      <c r="Z18">
        <f>HYPERLINK("https://klasma.github.io/Logging_1462/klagomålsmail/A 5834-2026 FSC-klagomål mail.docx", "A 5834-2026")</f>
        <v/>
      </c>
      <c r="AA18">
        <f>HYPERLINK("https://klasma.github.io/Logging_1462/tillsyn/A 5834-2026 tillsynsbegäran.docx", "A 5834-2026")</f>
        <v/>
      </c>
      <c r="AB18">
        <f>HYPERLINK("https://klasma.github.io/Logging_1462/tillsynsmail/A 5834-2026 tillsynsbegäran mail.docx", "A 5834-2026")</f>
        <v/>
      </c>
      <c r="AC18">
        <f>HYPERLINK("https://klasma.github.io/Logging_1462/fåglar/A 5834-2026 prioriterade fågelarter.docx", "A 5834-2026")</f>
        <v/>
      </c>
    </row>
    <row r="19" ht="15" customHeight="1">
      <c r="A19" t="inlineStr">
        <is>
          <t>A 17376-2026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46119</v>
      </c>
      <c r="E19" s="1" t="n">
        <v>46217</v>
      </c>
      <c r="F19" t="inlineStr">
        <is>
          <t>VÄSTRA GÖTALANDS LÄN</t>
        </is>
      </c>
      <c r="G19" t="inlineStr">
        <is>
          <t>LILLA EDET</t>
        </is>
      </c>
      <c r="I19" t="n">
        <v>2.5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s="2" t="inlineStr">
        <is>
          <t>Slåttergubbe
Almsnabbvinge
Granspira</t>
        </is>
      </c>
      <c r="V19">
        <f>HYPERLINK("https://klasma.github.io/Logging_1462/artfynd/A 17376-2026 artfynd.xlsx", "A 17376-2026")</f>
        <v/>
      </c>
      <c r="W19">
        <f>HYPERLINK("https://klasma.github.io/Logging_1462/kartor/A 17376-2026 karta.png", "A 17376-2026")</f>
        <v/>
      </c>
      <c r="Y19">
        <f>HYPERLINK("https://klasma.github.io/Logging_1462/klagomål/A 17376-2026 FSC-klagomål.docx", "A 17376-2026")</f>
        <v/>
      </c>
      <c r="Z19">
        <f>HYPERLINK("https://klasma.github.io/Logging_1462/klagomålsmail/A 17376-2026 FSC-klagomål mail.docx", "A 17376-2026")</f>
        <v/>
      </c>
      <c r="AA19">
        <f>HYPERLINK("https://klasma.github.io/Logging_1462/tillsyn/A 17376-2026 tillsynsbegäran.docx", "A 17376-2026")</f>
        <v/>
      </c>
      <c r="AB19">
        <f>HYPERLINK("https://klasma.github.io/Logging_1462/tillsynsmail/A 17376-2026 tillsynsbegäran mail.docx", "A 17376-2026")</f>
        <v/>
      </c>
    </row>
    <row r="20" ht="15" customHeight="1">
      <c r="A20" t="inlineStr">
        <is>
          <t>A 23559-2023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46217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8</v>
      </c>
      <c r="U20" s="2" t="inlineStr">
        <is>
          <t>Flodpärlmussla
Spillkråka
Revlummer</t>
        </is>
      </c>
      <c r="V20">
        <f>HYPERLINK("https://klasma.github.io/Logging_1462/artfynd/A 23559-2023 artfynd.xlsx", "A 23559-2023")</f>
        <v/>
      </c>
      <c r="W20">
        <f>HYPERLINK("https://klasma.github.io/Logging_1462/kartor/A 23559-2023 karta.png", "A 23559-2023")</f>
        <v/>
      </c>
      <c r="Y20">
        <f>HYPERLINK("https://klasma.github.io/Logging_1462/klagomål/A 23559-2023 FSC-klagomål.docx", "A 23559-2023")</f>
        <v/>
      </c>
      <c r="Z20">
        <f>HYPERLINK("https://klasma.github.io/Logging_1462/klagomålsmail/A 23559-2023 FSC-klagomål mail.docx", "A 23559-2023")</f>
        <v/>
      </c>
      <c r="AA20">
        <f>HYPERLINK("https://klasma.github.io/Logging_1462/tillsyn/A 23559-2023 tillsynsbegäran.docx", "A 23559-2023")</f>
        <v/>
      </c>
      <c r="AB20">
        <f>HYPERLINK("https://klasma.github.io/Logging_1462/tillsynsmail/A 23559-2023 tillsynsbegäran mail.docx", "A 23559-2023")</f>
        <v/>
      </c>
      <c r="AC20">
        <f>HYPERLINK("https://klasma.github.io/Logging_1462/fåglar/A 23559-2023 prioriterade fågelarter.docx", "A 23559-2023")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46217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s="2" t="inlineStr">
        <is>
          <t>Spillkråka
Revlummer</t>
        </is>
      </c>
      <c r="V21">
        <f>HYPERLINK("https://klasma.github.io/Logging_1462/artfynd/A 5866-2026 artfynd.xlsx", "A 5866-2026")</f>
        <v/>
      </c>
      <c r="W21">
        <f>HYPERLINK("https://klasma.github.io/Logging_1462/kartor/A 5866-2026 karta.png", "A 5866-2026")</f>
        <v/>
      </c>
      <c r="Y21">
        <f>HYPERLINK("https://klasma.github.io/Logging_1462/klagomål/A 5866-2026 FSC-klagomål.docx", "A 5866-2026")</f>
        <v/>
      </c>
      <c r="Z21">
        <f>HYPERLINK("https://klasma.github.io/Logging_1462/klagomålsmail/A 5866-2026 FSC-klagomål mail.docx", "A 5866-2026")</f>
        <v/>
      </c>
      <c r="AA21">
        <f>HYPERLINK("https://klasma.github.io/Logging_1462/tillsyn/A 5866-2026 tillsynsbegäran.docx", "A 5866-2026")</f>
        <v/>
      </c>
      <c r="AB21">
        <f>HYPERLINK("https://klasma.github.io/Logging_1462/tillsynsmail/A 5866-2026 tillsynsbegäran mail.docx", "A 5866-2026")</f>
        <v/>
      </c>
      <c r="AC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46217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Stor revmossa
Spillkråka</t>
        </is>
      </c>
      <c r="V22">
        <f>HYPERLINK("https://klasma.github.io/Logging_1462/artfynd/A 23497-2023 artfynd.xlsx", "A 23497-2023")</f>
        <v/>
      </c>
      <c r="W22">
        <f>HYPERLINK("https://klasma.github.io/Logging_1462/kartor/A 23497-2023 karta.png", "A 23497-2023")</f>
        <v/>
      </c>
      <c r="Y22">
        <f>HYPERLINK("https://klasma.github.io/Logging_1462/klagomål/A 23497-2023 FSC-klagomål.docx", "A 23497-2023")</f>
        <v/>
      </c>
      <c r="Z22">
        <f>HYPERLINK("https://klasma.github.io/Logging_1462/klagomålsmail/A 23497-2023 FSC-klagomål mail.docx", "A 23497-2023")</f>
        <v/>
      </c>
      <c r="AA22">
        <f>HYPERLINK("https://klasma.github.io/Logging_1462/tillsyn/A 23497-2023 tillsynsbegäran.docx", "A 23497-2023")</f>
        <v/>
      </c>
      <c r="AB22">
        <f>HYPERLINK("https://klasma.github.io/Logging_1462/tillsynsmail/A 23497-2023 tillsynsbegäran mail.docx", "A 23497-2023")</f>
        <v/>
      </c>
      <c r="AC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46217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s="2" t="inlineStr">
        <is>
          <t>Spillkråka
Revlummer</t>
        </is>
      </c>
      <c r="V23">
        <f>HYPERLINK("https://klasma.github.io/Logging_1462/artfynd/A 23494-2023 artfynd.xlsx", "A 23494-2023")</f>
        <v/>
      </c>
      <c r="W23">
        <f>HYPERLINK("https://klasma.github.io/Logging_1462/kartor/A 23494-2023 karta.png", "A 23494-2023")</f>
        <v/>
      </c>
      <c r="Y23">
        <f>HYPERLINK("https://klasma.github.io/Logging_1462/klagomål/A 23494-2023 FSC-klagomål.docx", "A 23494-2023")</f>
        <v/>
      </c>
      <c r="Z23">
        <f>HYPERLINK("https://klasma.github.io/Logging_1462/klagomålsmail/A 23494-2023 FSC-klagomål mail.docx", "A 23494-2023")</f>
        <v/>
      </c>
      <c r="AA23">
        <f>HYPERLINK("https://klasma.github.io/Logging_1462/tillsyn/A 23494-2023 tillsynsbegäran.docx", "A 23494-2023")</f>
        <v/>
      </c>
      <c r="AB23">
        <f>HYPERLINK("https://klasma.github.io/Logging_1462/tillsynsmail/A 23494-2023 tillsynsbegäran mail.docx", "A 23494-2023")</f>
        <v/>
      </c>
      <c r="AC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46217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s="2" t="inlineStr">
        <is>
          <t>Västlig hakmossa
Spillkråka</t>
        </is>
      </c>
      <c r="V24">
        <f>HYPERLINK("https://klasma.github.io/Logging_1462/artfynd/A 13699-2024 artfynd.xlsx", "A 13699-2024")</f>
        <v/>
      </c>
      <c r="W24">
        <f>HYPERLINK("https://klasma.github.io/Logging_1462/kartor/A 13699-2024 karta.png", "A 13699-2024")</f>
        <v/>
      </c>
      <c r="Y24">
        <f>HYPERLINK("https://klasma.github.io/Logging_1462/klagomål/A 13699-2024 FSC-klagomål.docx", "A 13699-2024")</f>
        <v/>
      </c>
      <c r="Z24">
        <f>HYPERLINK("https://klasma.github.io/Logging_1462/klagomålsmail/A 13699-2024 FSC-klagomål mail.docx", "A 13699-2024")</f>
        <v/>
      </c>
      <c r="AA24">
        <f>HYPERLINK("https://klasma.github.io/Logging_1462/tillsyn/A 13699-2024 tillsynsbegäran.docx", "A 13699-2024")</f>
        <v/>
      </c>
      <c r="AB24">
        <f>HYPERLINK("https://klasma.github.io/Logging_1462/tillsynsmail/A 13699-2024 tillsynsbegäran mail.docx", "A 13699-2024")</f>
        <v/>
      </c>
      <c r="AC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46217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Ärtsångare</t>
        </is>
      </c>
      <c r="V25">
        <f>HYPERLINK("https://klasma.github.io/Logging_1462/artfynd/A 30273-2022 artfynd.xlsx", "A 30273-2022")</f>
        <v/>
      </c>
      <c r="W25">
        <f>HYPERLINK("https://klasma.github.io/Logging_1462/kartor/A 30273-2022 karta.png", "A 30273-2022")</f>
        <v/>
      </c>
      <c r="Y25">
        <f>HYPERLINK("https://klasma.github.io/Logging_1462/klagomål/A 30273-2022 FSC-klagomål.docx", "A 30273-2022")</f>
        <v/>
      </c>
      <c r="Z25">
        <f>HYPERLINK("https://klasma.github.io/Logging_1462/klagomålsmail/A 30273-2022 FSC-klagomål mail.docx", "A 30273-2022")</f>
        <v/>
      </c>
      <c r="AA25">
        <f>HYPERLINK("https://klasma.github.io/Logging_1462/tillsyn/A 30273-2022 tillsynsbegäran.docx", "A 30273-2022")</f>
        <v/>
      </c>
      <c r="AB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46217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Kattfotslav</t>
        </is>
      </c>
      <c r="V26">
        <f>HYPERLINK("https://klasma.github.io/Logging_1462/artfynd/A 49384-2023 artfynd.xlsx", "A 49384-2023")</f>
        <v/>
      </c>
      <c r="W26">
        <f>HYPERLINK("https://klasma.github.io/Logging_1462/kartor/A 49384-2023 karta.png", "A 49384-2023")</f>
        <v/>
      </c>
      <c r="Y26">
        <f>HYPERLINK("https://klasma.github.io/Logging_1462/klagomål/A 49384-2023 FSC-klagomål.docx", "A 49384-2023")</f>
        <v/>
      </c>
      <c r="Z26">
        <f>HYPERLINK("https://klasma.github.io/Logging_1462/klagomålsmail/A 49384-2023 FSC-klagomål mail.docx", "A 49384-2023")</f>
        <v/>
      </c>
      <c r="AA26">
        <f>HYPERLINK("https://klasma.github.io/Logging_1462/tillsyn/A 49384-2023 tillsynsbegäran.docx", "A 49384-2023")</f>
        <v/>
      </c>
      <c r="AB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46217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Mindre vattensalamander</t>
        </is>
      </c>
      <c r="V27">
        <f>HYPERLINK("https://klasma.github.io/Logging_1462/artfynd/A 41756-2025 artfynd.xlsx", "A 41756-2025")</f>
        <v/>
      </c>
      <c r="W27">
        <f>HYPERLINK("https://klasma.github.io/Logging_1462/kartor/A 41756-2025 karta.png", "A 41756-2025")</f>
        <v/>
      </c>
      <c r="Y27">
        <f>HYPERLINK("https://klasma.github.io/Logging_1462/klagomål/A 41756-2025 FSC-klagomål.docx", "A 41756-2025")</f>
        <v/>
      </c>
      <c r="Z27">
        <f>HYPERLINK("https://klasma.github.io/Logging_1462/klagomålsmail/A 41756-2025 FSC-klagomål mail.docx", "A 41756-2025")</f>
        <v/>
      </c>
      <c r="AA27">
        <f>HYPERLINK("https://klasma.github.io/Logging_1462/tillsyn/A 41756-2025 tillsynsbegäran.docx", "A 41756-2025")</f>
        <v/>
      </c>
      <c r="AB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46217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Dofttaggsvamp</t>
        </is>
      </c>
      <c r="V28">
        <f>HYPERLINK("https://klasma.github.io/Logging_1462/artfynd/A 45941-2025 artfynd.xlsx", "A 45941-2025")</f>
        <v/>
      </c>
      <c r="W28">
        <f>HYPERLINK("https://klasma.github.io/Logging_1462/kartor/A 45941-2025 karta.png", "A 45941-2025")</f>
        <v/>
      </c>
      <c r="Y28">
        <f>HYPERLINK("https://klasma.github.io/Logging_1462/klagomål/A 45941-2025 FSC-klagomål.docx", "A 45941-2025")</f>
        <v/>
      </c>
      <c r="Z28">
        <f>HYPERLINK("https://klasma.github.io/Logging_1462/klagomålsmail/A 45941-2025 FSC-klagomål mail.docx", "A 45941-2025")</f>
        <v/>
      </c>
      <c r="AA28">
        <f>HYPERLINK("https://klasma.github.io/Logging_1462/tillsyn/A 45941-2025 tillsynsbegäran.docx", "A 45941-2025")</f>
        <v/>
      </c>
      <c r="AB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46217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HYPERLINK("https://klasma.github.io/Logging_1462/artfynd/A 38522-2024 artfynd.xlsx", "A 38522-2024")</f>
        <v/>
      </c>
      <c r="W29">
        <f>HYPERLINK("https://klasma.github.io/Logging_1462/kartor/A 38522-2024 karta.png", "A 38522-2024")</f>
        <v/>
      </c>
      <c r="Y29">
        <f>HYPERLINK("https://klasma.github.io/Logging_1462/klagomål/A 38522-2024 FSC-klagomål.docx", "A 38522-2024")</f>
        <v/>
      </c>
      <c r="Z29">
        <f>HYPERLINK("https://klasma.github.io/Logging_1462/klagomålsmail/A 38522-2024 FSC-klagomål mail.docx", "A 38522-2024")</f>
        <v/>
      </c>
      <c r="AA29">
        <f>HYPERLINK("https://klasma.github.io/Logging_1462/tillsyn/A 38522-2024 tillsynsbegäran.docx", "A 38522-2024")</f>
        <v/>
      </c>
      <c r="AB29">
        <f>HYPERLINK("https://klasma.github.io/Logging_1462/tillsynsmail/A 38522-2024 tillsynsbegäran mail.docx", "A 38522-2024")</f>
        <v/>
      </c>
      <c r="AC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46217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Revlummer</t>
        </is>
      </c>
      <c r="V30">
        <f>HYPERLINK("https://klasma.github.io/Logging_1462/artfynd/A 7062-2024 artfynd.xlsx", "A 7062-2024")</f>
        <v/>
      </c>
      <c r="W30">
        <f>HYPERLINK("https://klasma.github.io/Logging_1462/kartor/A 7062-2024 karta.png", "A 7062-2024")</f>
        <v/>
      </c>
      <c r="Y30">
        <f>HYPERLINK("https://klasma.github.io/Logging_1462/klagomål/A 7062-2024 FSC-klagomål.docx", "A 7062-2024")</f>
        <v/>
      </c>
      <c r="Z30">
        <f>HYPERLINK("https://klasma.github.io/Logging_1462/klagomålsmail/A 7062-2024 FSC-klagomål mail.docx", "A 7062-2024")</f>
        <v/>
      </c>
      <c r="AA30">
        <f>HYPERLINK("https://klasma.github.io/Logging_1462/tillsyn/A 7062-2024 tillsynsbegäran.docx", "A 7062-2024")</f>
        <v/>
      </c>
      <c r="AB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46217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Slåttergubbe</t>
        </is>
      </c>
      <c r="V31">
        <f>HYPERLINK("https://klasma.github.io/Logging_1462/artfynd/A 11102-2024 artfynd.xlsx", "A 11102-2024")</f>
        <v/>
      </c>
      <c r="W31">
        <f>HYPERLINK("https://klasma.github.io/Logging_1462/kartor/A 11102-2024 karta.png", "A 11102-2024")</f>
        <v/>
      </c>
      <c r="Y31">
        <f>HYPERLINK("https://klasma.github.io/Logging_1462/klagomål/A 11102-2024 FSC-klagomål.docx", "A 11102-2024")</f>
        <v/>
      </c>
      <c r="Z31">
        <f>HYPERLINK("https://klasma.github.io/Logging_1462/klagomålsmail/A 11102-2024 FSC-klagomål mail.docx", "A 11102-2024")</f>
        <v/>
      </c>
      <c r="AA31">
        <f>HYPERLINK("https://klasma.github.io/Logging_1462/tillsyn/A 11102-2024 tillsynsbegäran.docx", "A 11102-2024")</f>
        <v/>
      </c>
      <c r="AB31">
        <f>HYPERLINK("https://klasma.github.io/Logging_1462/tillsynsmail/A 11102-2024 tillsynsbegäran mail.docx", "A 11102-2024")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46217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46217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46217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46217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46217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46217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46217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46217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46217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46217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46217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46217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46217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46217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46217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46217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46217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46217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46217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46217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46217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13887-2024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45391</v>
      </c>
      <c r="E53" s="1" t="n">
        <v>46217</v>
      </c>
      <c r="F53" t="inlineStr">
        <is>
          <t>VÄSTRA GÖTALANDS LÄN</t>
        </is>
      </c>
      <c r="G53" t="inlineStr">
        <is>
          <t>LILLA EDET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46217</v>
      </c>
      <c r="F54" t="inlineStr">
        <is>
          <t>VÄSTRA GÖTALANDS LÄN</t>
        </is>
      </c>
      <c r="G54" t="inlineStr">
        <is>
          <t>LILLA EDET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46217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46217</v>
      </c>
      <c r="F56" t="inlineStr">
        <is>
          <t>VÄSTRA GÖTALANDS LÄN</t>
        </is>
      </c>
      <c r="G56" t="inlineStr">
        <is>
          <t>LILLA EDET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33993-2023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45134</v>
      </c>
      <c r="E57" s="1" t="n">
        <v>46217</v>
      </c>
      <c r="F57" t="inlineStr">
        <is>
          <t>VÄSTRA GÖTALANDS LÄN</t>
        </is>
      </c>
      <c r="G57" t="inlineStr">
        <is>
          <t>LILLA EDET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46217</v>
      </c>
      <c r="F58" t="inlineStr">
        <is>
          <t>VÄSTRA GÖTALANDS LÄN</t>
        </is>
      </c>
      <c r="G58" t="inlineStr">
        <is>
          <t>LILLA EDET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65619-2021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46217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51488-2022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46217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46217</v>
      </c>
      <c r="F61" t="inlineStr">
        <is>
          <t>VÄSTRA GÖTALANDS LÄN</t>
        </is>
      </c>
      <c r="G61" t="inlineStr">
        <is>
          <t>LILLA EDET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28910-2024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45480</v>
      </c>
      <c r="E62" s="1" t="n">
        <v>46217</v>
      </c>
      <c r="F62" t="inlineStr">
        <is>
          <t>VÄSTRA GÖTALANDS LÄN</t>
        </is>
      </c>
      <c r="G62" t="inlineStr">
        <is>
          <t>LILLA EDET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11604-2024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46217</v>
      </c>
      <c r="F63" t="inlineStr">
        <is>
          <t>VÄSTRA GÖTALANDS LÄN</t>
        </is>
      </c>
      <c r="G63" t="inlineStr">
        <is>
          <t>LILLA EDET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46217</v>
      </c>
      <c r="F64" t="inlineStr">
        <is>
          <t>VÄSTRA GÖTALANDS LÄN</t>
        </is>
      </c>
      <c r="G64" t="inlineStr">
        <is>
          <t>LILLA EDET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15567-2022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44662</v>
      </c>
      <c r="E65" s="1" t="n">
        <v>46217</v>
      </c>
      <c r="F65" t="inlineStr">
        <is>
          <t>VÄSTRA GÖTALANDS LÄN</t>
        </is>
      </c>
      <c r="G65" t="inlineStr">
        <is>
          <t>LILLA EDET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7912-2024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45350</v>
      </c>
      <c r="E66" s="1" t="n">
        <v>46217</v>
      </c>
      <c r="F66" t="inlineStr">
        <is>
          <t>VÄSTRA GÖTALANDS LÄN</t>
        </is>
      </c>
      <c r="G66" t="inlineStr">
        <is>
          <t>LILLA EDET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54804-2022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44883</v>
      </c>
      <c r="E67" s="1" t="n">
        <v>46217</v>
      </c>
      <c r="F67" t="inlineStr">
        <is>
          <t>VÄSTRA GÖTALANDS LÄN</t>
        </is>
      </c>
      <c r="G67" t="inlineStr">
        <is>
          <t>LILLA EDET</t>
        </is>
      </c>
      <c r="I67" t="n">
        <v>22.6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46217</v>
      </c>
      <c r="F68" t="inlineStr">
        <is>
          <t>VÄSTRA GÖTALANDS LÄN</t>
        </is>
      </c>
      <c r="G68" t="inlineStr">
        <is>
          <t>LILLA EDET</t>
        </is>
      </c>
      <c r="H68" t="inlineStr">
        <is>
          <t>Kyrkan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46217</v>
      </c>
      <c r="F69" t="inlineStr">
        <is>
          <t>VÄSTRA GÖTALANDS LÄN</t>
        </is>
      </c>
      <c r="G69" t="inlineStr">
        <is>
          <t>LILLA EDET</t>
        </is>
      </c>
      <c r="I69" t="n">
        <v>11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12628-2023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45000</v>
      </c>
      <c r="E70" s="1" t="n">
        <v>46217</v>
      </c>
      <c r="F70" t="inlineStr">
        <is>
          <t>VÄSTRA GÖTALANDS LÄN</t>
        </is>
      </c>
      <c r="G70" t="inlineStr">
        <is>
          <t>LILLA EDET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50349-2024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46217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46217</v>
      </c>
      <c r="F72" t="inlineStr">
        <is>
          <t>VÄSTRA GÖTALANDS LÄN</t>
        </is>
      </c>
      <c r="G72" t="inlineStr">
        <is>
          <t>LILLA EDET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35423-2025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45855</v>
      </c>
      <c r="E73" s="1" t="n">
        <v>46217</v>
      </c>
      <c r="F73" t="inlineStr">
        <is>
          <t>VÄSTRA GÖTALANDS LÄN</t>
        </is>
      </c>
      <c r="G73" t="inlineStr">
        <is>
          <t>LILLA EDET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28903-2024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45480</v>
      </c>
      <c r="E74" s="1" t="n">
        <v>46217</v>
      </c>
      <c r="F74" t="inlineStr">
        <is>
          <t>VÄSTRA GÖTALANDS LÄN</t>
        </is>
      </c>
      <c r="G74" t="inlineStr">
        <is>
          <t>LILLA EDET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45000</v>
      </c>
      <c r="E75" s="1" t="n">
        <v>46217</v>
      </c>
      <c r="F75" t="inlineStr">
        <is>
          <t>VÄSTRA GÖTALANDS LÄN</t>
        </is>
      </c>
      <c r="G75" t="inlineStr">
        <is>
          <t>LILLA EDET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41758-2025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46217</v>
      </c>
      <c r="F76" t="inlineStr">
        <is>
          <t>VÄSTRA GÖTALANDS LÄN</t>
        </is>
      </c>
      <c r="G76" t="inlineStr">
        <is>
          <t>LILLA EDET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46217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41761-2025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46217</v>
      </c>
      <c r="F78" t="inlineStr">
        <is>
          <t>VÄSTRA GÖTALANDS LÄN</t>
        </is>
      </c>
      <c r="G78" t="inlineStr">
        <is>
          <t>LILLA EDET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41759-2025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46217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12784-2025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45733</v>
      </c>
      <c r="E80" s="1" t="n">
        <v>46217</v>
      </c>
      <c r="F80" t="inlineStr">
        <is>
          <t>VÄSTRA GÖTALANDS LÄN</t>
        </is>
      </c>
      <c r="G80" t="inlineStr">
        <is>
          <t>LILLA EDET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35422-2025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45855</v>
      </c>
      <c r="E81" s="1" t="n">
        <v>46217</v>
      </c>
      <c r="F81" t="inlineStr">
        <is>
          <t>VÄSTRA GÖTALANDS LÄN</t>
        </is>
      </c>
      <c r="G81" t="inlineStr">
        <is>
          <t>LILLA EDET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42857-2025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46217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19079-2025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45766</v>
      </c>
      <c r="E83" s="1" t="n">
        <v>46217</v>
      </c>
      <c r="F83" t="inlineStr">
        <is>
          <t>VÄSTRA GÖTALANDS LÄN</t>
        </is>
      </c>
      <c r="G83" t="inlineStr">
        <is>
          <t>LILLA EDET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46217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44104-2025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45915</v>
      </c>
      <c r="E85" s="1" t="n">
        <v>46217</v>
      </c>
      <c r="F85" t="inlineStr">
        <is>
          <t>VÄSTRA GÖTALANDS LÄN</t>
        </is>
      </c>
      <c r="G85" t="inlineStr">
        <is>
          <t>LILLA EDET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44914-2025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46217</v>
      </c>
      <c r="F86" t="inlineStr">
        <is>
          <t>VÄSTRA GÖTALANDS LÄN</t>
        </is>
      </c>
      <c r="G86" t="inlineStr">
        <is>
          <t>LILLA EDET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46217</v>
      </c>
      <c r="F87" t="inlineStr">
        <is>
          <t>VÄSTRA GÖTALANDS LÄN</t>
        </is>
      </c>
      <c r="G87" t="inlineStr">
        <is>
          <t>LILLA EDET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44918-2025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46217</v>
      </c>
      <c r="F88" t="inlineStr">
        <is>
          <t>VÄSTRA GÖTALANDS LÄN</t>
        </is>
      </c>
      <c r="G88" t="inlineStr">
        <is>
          <t>LILLA EDET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44916-2025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46217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45692</v>
      </c>
      <c r="E90" s="1" t="n">
        <v>46217</v>
      </c>
      <c r="F90" t="inlineStr">
        <is>
          <t>VÄSTRA GÖTALANDS LÄN</t>
        </is>
      </c>
      <c r="G90" t="inlineStr">
        <is>
          <t>LILLA EDET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28022-2023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45098</v>
      </c>
      <c r="E91" s="1" t="n">
        <v>46217</v>
      </c>
      <c r="F91" t="inlineStr">
        <is>
          <t>VÄSTRA GÖTALANDS LÄN</t>
        </is>
      </c>
      <c r="G91" t="inlineStr">
        <is>
          <t>LILLA EDET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46217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46217</v>
      </c>
      <c r="F93" t="inlineStr">
        <is>
          <t>VÄSTRA GÖTALANDS LÄN</t>
        </is>
      </c>
      <c r="G93" t="inlineStr">
        <is>
          <t>LILLA EDET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46217</v>
      </c>
      <c r="F94" t="inlineStr">
        <is>
          <t>VÄSTRA GÖTALANDS LÄN</t>
        </is>
      </c>
      <c r="G94" t="inlineStr">
        <is>
          <t>LILLA EDET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48904-2024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46217</v>
      </c>
      <c r="F95" t="inlineStr">
        <is>
          <t>VÄSTRA GÖTALANDS LÄN</t>
        </is>
      </c>
      <c r="G95" t="inlineStr">
        <is>
          <t>LILLA EDET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46217</v>
      </c>
      <c r="F96" t="inlineStr">
        <is>
          <t>VÄSTRA GÖTALANDS LÄN</t>
        </is>
      </c>
      <c r="G96" t="inlineStr">
        <is>
          <t>LILLA EDET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49188-2025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46217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61952-2024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45653</v>
      </c>
      <c r="E98" s="1" t="n">
        <v>46217</v>
      </c>
      <c r="F98" t="inlineStr">
        <is>
          <t>VÄSTRA GÖTALANDS LÄN</t>
        </is>
      </c>
      <c r="G98" t="inlineStr">
        <is>
          <t>LILLA EDET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61475-2025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46001</v>
      </c>
      <c r="E99" s="1" t="n">
        <v>46217</v>
      </c>
      <c r="F99" t="inlineStr">
        <is>
          <t>VÄSTRA GÖTALANDS LÄN</t>
        </is>
      </c>
      <c r="G99" t="inlineStr">
        <is>
          <t>LILLA EDET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55972-2022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44889</v>
      </c>
      <c r="E100" s="1" t="n">
        <v>46217</v>
      </c>
      <c r="F100" t="inlineStr">
        <is>
          <t>VÄSTRA GÖTALANDS LÄN</t>
        </is>
      </c>
      <c r="G100" t="inlineStr">
        <is>
          <t>LILLA EDET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55324-2025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46217</v>
      </c>
      <c r="F101" t="inlineStr">
        <is>
          <t>VÄSTRA GÖTALANDS LÄN</t>
        </is>
      </c>
      <c r="G101" t="inlineStr">
        <is>
          <t>LILLA EDET</t>
        </is>
      </c>
      <c r="H101" t="inlineStr">
        <is>
          <t>Sveaskog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26886-2023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46217</v>
      </c>
      <c r="F102" t="inlineStr">
        <is>
          <t>VÄSTRA GÖTALANDS LÄN</t>
        </is>
      </c>
      <c r="G102" t="inlineStr">
        <is>
          <t>LILLA EDET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26443-2023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45092</v>
      </c>
      <c r="E103" s="1" t="n">
        <v>46217</v>
      </c>
      <c r="F103" t="inlineStr">
        <is>
          <t>VÄSTRA GÖTALANDS LÄN</t>
        </is>
      </c>
      <c r="G103" t="inlineStr">
        <is>
          <t>LILLA EDET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17114-2023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45034</v>
      </c>
      <c r="E104" s="1" t="n">
        <v>46217</v>
      </c>
      <c r="F104" t="inlineStr">
        <is>
          <t>VÄSTRA GÖTALANDS LÄN</t>
        </is>
      </c>
      <c r="G104" t="inlineStr">
        <is>
          <t>LILLA EDET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58750-2021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46217</v>
      </c>
      <c r="F105" t="inlineStr">
        <is>
          <t>VÄSTRA GÖTALANDS LÄN</t>
        </is>
      </c>
      <c r="G105" t="inlineStr">
        <is>
          <t>LILLA EDET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61695-2025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46217</v>
      </c>
      <c r="F106" t="inlineStr">
        <is>
          <t>VÄSTRA GÖTALANDS LÄN</t>
        </is>
      </c>
      <c r="G106" t="inlineStr">
        <is>
          <t>LILLA EDET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27643-2026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46217</v>
      </c>
      <c r="F107" t="inlineStr">
        <is>
          <t>VÄSTRA GÖTALANDS LÄN</t>
        </is>
      </c>
      <c r="G107" t="inlineStr">
        <is>
          <t>LILLA EDET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7947-2024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46217</v>
      </c>
      <c r="F108" t="inlineStr">
        <is>
          <t>VÄSTRA GÖTALANDS LÄN</t>
        </is>
      </c>
      <c r="G108" t="inlineStr">
        <is>
          <t>LILLA EDET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13581-2023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45006</v>
      </c>
      <c r="E109" s="1" t="n">
        <v>46217</v>
      </c>
      <c r="F109" t="inlineStr">
        <is>
          <t>VÄSTRA GÖTALANDS LÄN</t>
        </is>
      </c>
      <c r="G109" t="inlineStr">
        <is>
          <t>LILLA EDET</t>
        </is>
      </c>
      <c r="H109" t="inlineStr">
        <is>
          <t>Kommuner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22257-2026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46217</v>
      </c>
      <c r="F110" t="inlineStr">
        <is>
          <t>VÄSTRA GÖTALANDS LÄN</t>
        </is>
      </c>
      <c r="G110" t="inlineStr">
        <is>
          <t>LILLA EDET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54681-2021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44473</v>
      </c>
      <c r="E111" s="1" t="n">
        <v>46217</v>
      </c>
      <c r="F111" t="inlineStr">
        <is>
          <t>VÄSTRA GÖTALANDS LÄN</t>
        </is>
      </c>
      <c r="G111" t="inlineStr">
        <is>
          <t>LILLA EDET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47511-2024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46217</v>
      </c>
      <c r="F112" t="inlineStr">
        <is>
          <t>VÄSTRA GÖTALANDS LÄN</t>
        </is>
      </c>
      <c r="G112" t="inlineStr">
        <is>
          <t>LILLA EDET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43770-2023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46217</v>
      </c>
      <c r="F113" t="inlineStr">
        <is>
          <t>VÄSTRA GÖTALANDS LÄN</t>
        </is>
      </c>
      <c r="G113" t="inlineStr">
        <is>
          <t>LILLA EDET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45329</v>
      </c>
      <c r="E114" s="1" t="n">
        <v>46217</v>
      </c>
      <c r="F114" t="inlineStr">
        <is>
          <t>VÄSTRA GÖTALANDS LÄN</t>
        </is>
      </c>
      <c r="G114" t="inlineStr">
        <is>
          <t>LILLA EDET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46217</v>
      </c>
      <c r="F115" t="inlineStr">
        <is>
          <t>VÄSTRA GÖTALANDS LÄN</t>
        </is>
      </c>
      <c r="G115" t="inlineStr">
        <is>
          <t>LILLA EDET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46217</v>
      </c>
      <c r="F116" t="inlineStr">
        <is>
          <t>VÄSTRA GÖTALANDS LÄN</t>
        </is>
      </c>
      <c r="G116" t="inlineStr">
        <is>
          <t>LILLA EDET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9046-2022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46217</v>
      </c>
      <c r="F117" t="inlineStr">
        <is>
          <t>VÄSTRA GÖTALANDS LÄN</t>
        </is>
      </c>
      <c r="G117" t="inlineStr">
        <is>
          <t>LILLA EDET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61435-2024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46217</v>
      </c>
      <c r="F118" t="inlineStr">
        <is>
          <t>VÄSTRA GÖTALANDS LÄN</t>
        </is>
      </c>
      <c r="G118" t="inlineStr">
        <is>
          <t>LILLA EDET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25729-2026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46217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56584-2025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46217</v>
      </c>
      <c r="F120" t="inlineStr">
        <is>
          <t>VÄSTRA GÖTALANDS LÄN</t>
        </is>
      </c>
      <c r="G120" t="inlineStr">
        <is>
          <t>LILLA EDET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14929-2024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45398</v>
      </c>
      <c r="E121" s="1" t="n">
        <v>46217</v>
      </c>
      <c r="F121" t="inlineStr">
        <is>
          <t>VÄSTRA GÖTALANDS LÄN</t>
        </is>
      </c>
      <c r="G121" t="inlineStr">
        <is>
          <t>LILLA EDET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21630-2024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45442</v>
      </c>
      <c r="E122" s="1" t="n">
        <v>46217</v>
      </c>
      <c r="F122" t="inlineStr">
        <is>
          <t>VÄSTRA GÖTALANDS LÄN</t>
        </is>
      </c>
      <c r="G122" t="inlineStr">
        <is>
          <t>LILLA EDET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43767-2023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46217</v>
      </c>
      <c r="F123" t="inlineStr">
        <is>
          <t>VÄSTRA GÖTALANDS LÄN</t>
        </is>
      </c>
      <c r="G123" t="inlineStr">
        <is>
          <t>LILLA EDET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15351-2024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46217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33991-2023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45134</v>
      </c>
      <c r="E125" s="1" t="n">
        <v>46217</v>
      </c>
      <c r="F125" t="inlineStr">
        <is>
          <t>VÄSTRA GÖTALANDS LÄN</t>
        </is>
      </c>
      <c r="G125" t="inlineStr">
        <is>
          <t>LILLA EDET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23541-2026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46163</v>
      </c>
      <c r="E126" s="1" t="n">
        <v>46217</v>
      </c>
      <c r="F126" t="inlineStr">
        <is>
          <t>VÄSTRA GÖTALANDS LÄN</t>
        </is>
      </c>
      <c r="G126" t="inlineStr">
        <is>
          <t>LILLA EDET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14427-2026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46217</v>
      </c>
      <c r="F127" t="inlineStr">
        <is>
          <t>VÄSTRA GÖTALANDS LÄN</t>
        </is>
      </c>
      <c r="G127" t="inlineStr">
        <is>
          <t>LILLA EDET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41411-2022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46217</v>
      </c>
      <c r="F128" t="inlineStr">
        <is>
          <t>VÄSTRA GÖTALANDS LÄN</t>
        </is>
      </c>
      <c r="G128" t="inlineStr">
        <is>
          <t>LILLA EDET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45324</v>
      </c>
      <c r="E129" s="1" t="n">
        <v>46217</v>
      </c>
      <c r="F129" t="inlineStr">
        <is>
          <t>VÄSTRA GÖTALANDS LÄN</t>
        </is>
      </c>
      <c r="G129" t="inlineStr">
        <is>
          <t>LILLA EDET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45324</v>
      </c>
      <c r="E130" s="1" t="n">
        <v>46217</v>
      </c>
      <c r="F130" t="inlineStr">
        <is>
          <t>VÄSTRA GÖTALANDS LÄN</t>
        </is>
      </c>
      <c r="G130" t="inlineStr">
        <is>
          <t>LILLA EDET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30605-2026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46210</v>
      </c>
      <c r="E131" s="1" t="n">
        <v>46217</v>
      </c>
      <c r="F131" t="inlineStr">
        <is>
          <t>VÄSTRA GÖTALANDS LÄN</t>
        </is>
      </c>
      <c r="G131" t="inlineStr">
        <is>
          <t>LILLA EDET</t>
        </is>
      </c>
      <c r="I131" t="n">
        <v>10.5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17377-2026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46217</v>
      </c>
      <c r="F132" t="inlineStr">
        <is>
          <t>VÄSTRA GÖTALANDS LÄN</t>
        </is>
      </c>
      <c r="G132" t="inlineStr">
        <is>
          <t>LILLA EDET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37508-2023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45158</v>
      </c>
      <c r="E133" s="1" t="n">
        <v>46217</v>
      </c>
      <c r="F133" t="inlineStr">
        <is>
          <t>VÄSTRA GÖTALANDS LÄN</t>
        </is>
      </c>
      <c r="G133" t="inlineStr">
        <is>
          <t>LILLA EDET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37509-2023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45158</v>
      </c>
      <c r="E134" s="1" t="n">
        <v>46217</v>
      </c>
      <c r="F134" t="inlineStr">
        <is>
          <t>VÄSTRA GÖTALANDS LÄN</t>
        </is>
      </c>
      <c r="G134" t="inlineStr">
        <is>
          <t>LILLA EDET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18864-2026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46127</v>
      </c>
      <c r="E135" s="1" t="n">
        <v>46217</v>
      </c>
      <c r="F135" t="inlineStr">
        <is>
          <t>VÄSTRA GÖTALANDS LÄN</t>
        </is>
      </c>
      <c r="G135" t="inlineStr">
        <is>
          <t>LILLA EDET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18841-2026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46129</v>
      </c>
      <c r="E136" s="1" t="n">
        <v>46217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45743</v>
      </c>
      <c r="E137" s="1" t="n">
        <v>46217</v>
      </c>
      <c r="F137" t="inlineStr">
        <is>
          <t>VÄSTRA GÖTALANDS LÄN</t>
        </is>
      </c>
      <c r="G137" t="inlineStr">
        <is>
          <t>LILLA EDET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24700-2026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46171</v>
      </c>
      <c r="E138" s="1" t="n">
        <v>46217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13382-2023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46217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38093-2022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46217</v>
      </c>
      <c r="F140" t="inlineStr">
        <is>
          <t>VÄSTRA GÖTALANDS LÄN</t>
        </is>
      </c>
      <c r="G140" t="inlineStr">
        <is>
          <t>LILLA EDET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16473-2022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44671</v>
      </c>
      <c r="E141" s="1" t="n">
        <v>46217</v>
      </c>
      <c r="F141" t="inlineStr">
        <is>
          <t>VÄSTRA GÖTALANDS LÄN</t>
        </is>
      </c>
      <c r="G141" t="inlineStr">
        <is>
          <t>LILLA EDET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46217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57754-2023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46217</v>
      </c>
      <c r="F143" t="inlineStr">
        <is>
          <t>VÄSTRA GÖTALANDS LÄN</t>
        </is>
      </c>
      <c r="G143" t="inlineStr">
        <is>
          <t>LILLA EDET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44445-2023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46217</v>
      </c>
      <c r="F144" t="inlineStr">
        <is>
          <t>VÄSTRA GÖTALANDS LÄN</t>
        </is>
      </c>
      <c r="G144" t="inlineStr">
        <is>
          <t>LILLA EDET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17116-2023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46217</v>
      </c>
      <c r="F145" t="inlineStr">
        <is>
          <t>VÄSTRA GÖTALANDS LÄN</t>
        </is>
      </c>
      <c r="G145" t="inlineStr">
        <is>
          <t>LILLA EDET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12760-2023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46217</v>
      </c>
      <c r="F146" t="inlineStr">
        <is>
          <t>VÄSTRA GÖTALANDS LÄN</t>
        </is>
      </c>
      <c r="G146" t="inlineStr">
        <is>
          <t>LILLA EDET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45693</v>
      </c>
      <c r="E147" s="1" t="n">
        <v>46217</v>
      </c>
      <c r="F147" t="inlineStr">
        <is>
          <t>VÄSTRA GÖTALANDS LÄN</t>
        </is>
      </c>
      <c r="G147" t="inlineStr">
        <is>
          <t>LILLA EDET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45295</v>
      </c>
      <c r="E148" s="1" t="n">
        <v>46217</v>
      </c>
      <c r="F148" t="inlineStr">
        <is>
          <t>VÄSTRA GÖTALANDS LÄN</t>
        </is>
      </c>
      <c r="G148" t="inlineStr">
        <is>
          <t>LILLA EDET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29066-2024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45481</v>
      </c>
      <c r="E149" s="1" t="n">
        <v>46217</v>
      </c>
      <c r="F149" t="inlineStr">
        <is>
          <t>VÄSTRA GÖTALANDS LÄN</t>
        </is>
      </c>
      <c r="G149" t="inlineStr">
        <is>
          <t>LILLA EDET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29068-2024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45481</v>
      </c>
      <c r="E150" s="1" t="n">
        <v>46217</v>
      </c>
      <c r="F150" t="inlineStr">
        <is>
          <t>VÄSTRA GÖTALANDS LÄN</t>
        </is>
      </c>
      <c r="G150" t="inlineStr">
        <is>
          <t>LILLA EDET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46217</v>
      </c>
      <c r="F151" t="inlineStr">
        <is>
          <t>VÄSTRA GÖTALANDS LÄN</t>
        </is>
      </c>
      <c r="G151" t="inlineStr">
        <is>
          <t>LILLA EDET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13631-2024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45390</v>
      </c>
      <c r="E152" s="1" t="n">
        <v>46217</v>
      </c>
      <c r="F152" t="inlineStr">
        <is>
          <t>VÄSTRA GÖTALANDS LÄN</t>
        </is>
      </c>
      <c r="G152" t="inlineStr">
        <is>
          <t>LILLA EDET</t>
        </is>
      </c>
      <c r="I152" t="n">
        <v>16.4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37063-2024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45539</v>
      </c>
      <c r="E153" s="1" t="n">
        <v>46217</v>
      </c>
      <c r="F153" t="inlineStr">
        <is>
          <t>VÄSTRA GÖTALANDS LÄN</t>
        </is>
      </c>
      <c r="G153" t="inlineStr">
        <is>
          <t>LILLA EDET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15159-2023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46217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46217</v>
      </c>
      <c r="F155" t="inlineStr">
        <is>
          <t>VÄSTRA GÖTALANDS LÄN</t>
        </is>
      </c>
      <c r="G155" t="inlineStr">
        <is>
          <t>LILLA EDET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13975-2023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45008</v>
      </c>
      <c r="E156" s="1" t="n">
        <v>46217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8071-2024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45351</v>
      </c>
      <c r="E157" s="1" t="n">
        <v>46217</v>
      </c>
      <c r="F157" t="inlineStr">
        <is>
          <t>VÄSTRA GÖTALANDS LÄN</t>
        </is>
      </c>
      <c r="G157" t="inlineStr">
        <is>
          <t>LILLA EDET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46217</v>
      </c>
      <c r="F158" t="inlineStr">
        <is>
          <t>VÄSTRA GÖTALANDS LÄN</t>
        </is>
      </c>
      <c r="G158" t="inlineStr">
        <is>
          <t>LILLA EDET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45296</v>
      </c>
      <c r="E159" s="1" t="n">
        <v>46217</v>
      </c>
      <c r="F159" t="inlineStr">
        <is>
          <t>VÄSTRA GÖTALANDS LÄN</t>
        </is>
      </c>
      <c r="G159" t="inlineStr">
        <is>
          <t>LILLA EDET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62730-2023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46217</v>
      </c>
      <c r="F160" t="inlineStr">
        <is>
          <t>VÄSTRA GÖTALANDS LÄN</t>
        </is>
      </c>
      <c r="G160" t="inlineStr">
        <is>
          <t>LILLA EDET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49879-2023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45213</v>
      </c>
      <c r="E161" s="1" t="n">
        <v>46217</v>
      </c>
      <c r="F161" t="inlineStr">
        <is>
          <t>VÄSTRA GÖTALANDS LÄN</t>
        </is>
      </c>
      <c r="G161" t="inlineStr">
        <is>
          <t>LILLA EDET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45692</v>
      </c>
      <c r="E162" s="1" t="n">
        <v>46217</v>
      </c>
      <c r="F162" t="inlineStr">
        <is>
          <t>VÄSTRA GÖTALANDS LÄN</t>
        </is>
      </c>
      <c r="G162" t="inlineStr">
        <is>
          <t>LILLA EDET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45684</v>
      </c>
      <c r="E163" s="1" t="n">
        <v>46217</v>
      </c>
      <c r="F163" t="inlineStr">
        <is>
          <t>VÄSTRA GÖTALANDS LÄN</t>
        </is>
      </c>
      <c r="G163" t="inlineStr">
        <is>
          <t>LILLA EDET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21617-2024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46217</v>
      </c>
      <c r="F164" t="inlineStr">
        <is>
          <t>VÄSTRA GÖTALANDS LÄN</t>
        </is>
      </c>
      <c r="G164" t="inlineStr">
        <is>
          <t>LILLA EDET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30724-2024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45496</v>
      </c>
      <c r="E165" s="1" t="n">
        <v>46217</v>
      </c>
      <c r="F165" t="inlineStr">
        <is>
          <t>VÄSTRA GÖTALANDS LÄN</t>
        </is>
      </c>
      <c r="G165" t="inlineStr">
        <is>
          <t>LILLA EDET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22561-2025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46217</v>
      </c>
      <c r="F166" t="inlineStr">
        <is>
          <t>VÄSTRA GÖTALANDS LÄN</t>
        </is>
      </c>
      <c r="G166" t="inlineStr">
        <is>
          <t>LILLA EDET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23509-2025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45792</v>
      </c>
      <c r="E167" s="1" t="n">
        <v>46217</v>
      </c>
      <c r="F167" t="inlineStr">
        <is>
          <t>VÄSTRA GÖTALANDS LÄN</t>
        </is>
      </c>
      <c r="G167" t="inlineStr">
        <is>
          <t>LILLA EDET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23374-2025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46217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12790-2025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45733</v>
      </c>
      <c r="E169" s="1" t="n">
        <v>46217</v>
      </c>
      <c r="F169" t="inlineStr">
        <is>
          <t>VÄSTRA GÖTALANDS LÄN</t>
        </is>
      </c>
      <c r="G169" t="inlineStr">
        <is>
          <t>LILLA EDET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45729</v>
      </c>
      <c r="E170" s="1" t="n">
        <v>46217</v>
      </c>
      <c r="F170" t="inlineStr">
        <is>
          <t>VÄSTRA GÖTALANDS LÄN</t>
        </is>
      </c>
      <c r="G170" t="inlineStr">
        <is>
          <t>LILLA EDET</t>
        </is>
      </c>
      <c r="I170" t="n">
        <v>10.2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24053-2025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45796</v>
      </c>
      <c r="E171" s="1" t="n">
        <v>46217</v>
      </c>
      <c r="F171" t="inlineStr">
        <is>
          <t>VÄSTRA GÖTALANDS LÄN</t>
        </is>
      </c>
      <c r="G171" t="inlineStr">
        <is>
          <t>LILLA EDET</t>
        </is>
      </c>
      <c r="I171" t="n">
        <v>11.1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45694</v>
      </c>
      <c r="E172" s="1" t="n">
        <v>46217</v>
      </c>
      <c r="F172" t="inlineStr">
        <is>
          <t>VÄSTRA GÖTALANDS LÄN</t>
        </is>
      </c>
      <c r="G172" t="inlineStr">
        <is>
          <t>LILLA EDET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7819-2025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46217</v>
      </c>
      <c r="F173" t="inlineStr">
        <is>
          <t>VÄSTRA GÖTALANDS LÄN</t>
        </is>
      </c>
      <c r="G173" t="inlineStr">
        <is>
          <t>LILLA EDET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46217</v>
      </c>
      <c r="F174" t="inlineStr">
        <is>
          <t>VÄSTRA GÖTALANDS LÄN</t>
        </is>
      </c>
      <c r="G174" t="inlineStr">
        <is>
          <t>LILLA EDET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6384-2025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46217</v>
      </c>
      <c r="F175" t="inlineStr">
        <is>
          <t>VÄSTRA GÖTALANDS LÄN</t>
        </is>
      </c>
      <c r="G175" t="inlineStr">
        <is>
          <t>LILLA EDET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36984-2024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46217</v>
      </c>
      <c r="F176" t="inlineStr">
        <is>
          <t>VÄSTRA GÖTALANDS LÄN</t>
        </is>
      </c>
      <c r="G176" t="inlineStr">
        <is>
          <t>LILLA EDET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27222-2025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46217</v>
      </c>
      <c r="F177" t="inlineStr">
        <is>
          <t>VÄSTRA GÖTALANDS LÄN</t>
        </is>
      </c>
      <c r="G177" t="inlineStr">
        <is>
          <t>LILLA EDET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46217</v>
      </c>
      <c r="F178" t="inlineStr">
        <is>
          <t>VÄSTRA GÖTALANDS LÄN</t>
        </is>
      </c>
      <c r="G178" t="inlineStr">
        <is>
          <t>LILLA EDET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45855</v>
      </c>
      <c r="E179" s="1" t="n">
        <v>46217</v>
      </c>
      <c r="F179" t="inlineStr">
        <is>
          <t>VÄSTRA GÖTALANDS LÄN</t>
        </is>
      </c>
      <c r="G179" t="inlineStr">
        <is>
          <t>LILLA EDET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35717-2025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45860</v>
      </c>
      <c r="E180" s="1" t="n">
        <v>46217</v>
      </c>
      <c r="F180" t="inlineStr">
        <is>
          <t>VÄSTRA GÖTALANDS LÄN</t>
        </is>
      </c>
      <c r="G180" t="inlineStr">
        <is>
          <t>LILLA EDET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460-2023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44964</v>
      </c>
      <c r="E181" s="1" t="n">
        <v>46217</v>
      </c>
      <c r="F181" t="inlineStr">
        <is>
          <t>VÄSTRA GÖTALANDS LÄN</t>
        </is>
      </c>
      <c r="G181" t="inlineStr">
        <is>
          <t>LILLA EDET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2026-07-14T09:02:08Z</dcterms:created>
  <dcterms:modified xmlns:dcterms="http://purl.org/dc/terms/" xmlns:xsi="http://www.w3.org/2001/XMLSchema-instance" xsi:type="dcterms:W3CDTF">2026-07-14T09:02:08Z</dcterms:modified>
</cp:coreProperties>
</file>