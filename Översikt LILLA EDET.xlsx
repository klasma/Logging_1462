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46226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45296</v>
      </c>
      <c r="E3" s="1" t="n">
        <v>46226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Kommuner</t>
        </is>
      </c>
      <c r="I3" t="n">
        <v>6.3</v>
      </c>
      <c r="J3" t="n">
        <v>9</v>
      </c>
      <c r="K3" t="n">
        <v>1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10</v>
      </c>
      <c r="T3" t="n">
        <v>13</v>
      </c>
      <c r="U3" t="n">
        <v>13</v>
      </c>
      <c r="V3" s="2" t="inlineStr">
        <is>
          <t>Grönfink
Entita
Grönsångare
Gulsparv
Järnsparv
Mindre hackspett
Talltita
Västlig hakmossa
Spillkråka
Revlummer</t>
        </is>
      </c>
      <c r="W3">
        <f>HYPERLINK("https://klasma.github.io/Logging_1462/artfynd/A 434-2024 artfynd.xlsx", "A 434-2024")</f>
        <v/>
      </c>
      <c r="X3">
        <f>HYPERLINK("https://klasma.github.io/Logging_1462/kartor/A 434-2024 karta.png", "A 434-2024")</f>
        <v/>
      </c>
      <c r="Y3">
        <f>HYPERLINK("https://klasma.github.io/Logging_1462/kartor_geotiff/A 434-2024 georefererad karta.tif", "A 434-2024")</f>
        <v/>
      </c>
      <c r="AA3">
        <f>HYPERLINK("https://klasma.github.io/Logging_1462/klagomål/A 434-2024 FSC-klagomål.docx", "A 434-2024")</f>
        <v/>
      </c>
      <c r="AB3">
        <f>HYPERLINK("https://klasma.github.io/Logging_1462/klagomålsmail/A 434-2024 FSC-klagomål mail.docx", "A 434-2024")</f>
        <v/>
      </c>
      <c r="AC3">
        <f>HYPERLINK("https://klasma.github.io/Logging_1462/tillsyn/A 434-2024 tillsynsbegäran.docx", "A 434-2024")</f>
        <v/>
      </c>
      <c r="AD3">
        <f>HYPERLINK("https://klasma.github.io/Logging_1462/tillsynsmail/A 434-2024 tillsynsbegäran mail.docx", "A 434-2024")</f>
        <v/>
      </c>
      <c r="AE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46226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16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9</v>
      </c>
      <c r="T4" t="n">
        <v>28</v>
      </c>
      <c r="U4" t="n">
        <v>28</v>
      </c>
      <c r="V4" s="2" t="inlineStr">
        <is>
          <t>Fällmossa
Havstulpanlav
Kambräken
Klippfrullania
Stor revmossa
Västlig hakmossa
Spillkråka
Tjäder
Revlummer</t>
        </is>
      </c>
      <c r="W4">
        <f>HYPERLINK("https://klasma.github.io/Logging_1462/artfynd/A 315-2024 artfynd.xlsx", "A 315-2024")</f>
        <v/>
      </c>
      <c r="X4">
        <f>HYPERLINK("https://klasma.github.io/Logging_1462/kartor/A 315-2024 karta.png", "A 315-2024")</f>
        <v/>
      </c>
      <c r="Y4">
        <f>HYPERLINK("https://klasma.github.io/Logging_1462/kartor_geotiff/A 315-2024 georefererad karta.tif", "A 315-2024")</f>
        <v/>
      </c>
      <c r="AA4">
        <f>HYPERLINK("https://klasma.github.io/Logging_1462/klagomål/A 315-2024 FSC-klagomål.docx", "A 315-2024")</f>
        <v/>
      </c>
      <c r="AB4">
        <f>HYPERLINK("https://klasma.github.io/Logging_1462/klagomålsmail/A 315-2024 FSC-klagomål mail.docx", "A 315-2024")</f>
        <v/>
      </c>
      <c r="AC4">
        <f>HYPERLINK("https://klasma.github.io/Logging_1462/tillsyn/A 315-2024 tillsynsbegäran.docx", "A 315-2024")</f>
        <v/>
      </c>
      <c r="AD4">
        <f>HYPERLINK("https://klasma.github.io/Logging_1462/tillsynsmail/A 315-2024 tillsynsbegäran mail.docx", "A 315-2024")</f>
        <v/>
      </c>
      <c r="AE4">
        <f>HYPERLINK("https://klasma.github.io/Logging_1462/fåglar/A 315-2024 prioriterade fågelarter.docx", "A 315-2024")</f>
        <v/>
      </c>
    </row>
    <row r="5" ht="15" customHeight="1">
      <c r="A5" t="inlineStr">
        <is>
          <t>A 30285-2025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45827</v>
      </c>
      <c r="E5" s="1" t="n">
        <v>46226</v>
      </c>
      <c r="F5" t="inlineStr">
        <is>
          <t>VÄSTRA GÖTALANDS LÄN</t>
        </is>
      </c>
      <c r="G5" t="inlineStr">
        <is>
          <t>LILLA EDET</t>
        </is>
      </c>
      <c r="I5" t="n">
        <v>29.6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38</v>
      </c>
      <c r="U5" t="n">
        <v>1</v>
      </c>
      <c r="V5" s="2" t="inlineStr">
        <is>
          <t>Dofttaggsvamp
Blåmossa
Klippfrullania
Stor revmossa
Västlig hakmossa
Mattlummer
Spillkråka
Revlummer</t>
        </is>
      </c>
      <c r="W5">
        <f>HYPERLINK("https://klasma.github.io/Logging_1462/artfynd/A 30285-2025 artfynd.xlsx", "A 30285-2025")</f>
        <v/>
      </c>
      <c r="X5">
        <f>HYPERLINK("https://klasma.github.io/Logging_1462/kartor/A 30285-2025 karta.png", "A 30285-2025")</f>
        <v/>
      </c>
      <c r="Y5">
        <f>HYPERLINK("https://klasma.github.io/Logging_1462/kartor_geotiff/A 30285-2025 georefererad karta.tif", "A 30285-2025")</f>
        <v/>
      </c>
      <c r="AA5">
        <f>HYPERLINK("https://klasma.github.io/Logging_1462/klagomål/A 30285-2025 FSC-klagomål.docx", "A 30285-2025")</f>
        <v/>
      </c>
      <c r="AB5">
        <f>HYPERLINK("https://klasma.github.io/Logging_1462/klagomålsmail/A 30285-2025 FSC-klagomål mail.docx", "A 30285-2025")</f>
        <v/>
      </c>
      <c r="AC5">
        <f>HYPERLINK("https://klasma.github.io/Logging_1462/tillsyn/A 30285-2025 tillsynsbegäran.docx", "A 30285-2025")</f>
        <v/>
      </c>
      <c r="AD5">
        <f>HYPERLINK("https://klasma.github.io/Logging_1462/tillsynsmail/A 30285-2025 tillsynsbegäran mail.docx", "A 30285-2025")</f>
        <v/>
      </c>
      <c r="AE5">
        <f>HYPERLINK("https://klasma.github.io/Logging_1462/fåglar/A 30285-2025 prioriterade fågelarter.docx", "A 30285-2025")</f>
        <v/>
      </c>
    </row>
    <row r="6" ht="15" customHeight="1">
      <c r="A6" t="inlineStr">
        <is>
          <t>A 318-2024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45295</v>
      </c>
      <c r="E6" s="1" t="n">
        <v>46226</v>
      </c>
      <c r="F6" t="inlineStr">
        <is>
          <t>VÄSTRA GÖTALANDS LÄN</t>
        </is>
      </c>
      <c r="G6" t="inlineStr">
        <is>
          <t>LILLA EDET</t>
        </is>
      </c>
      <c r="H6" t="inlineStr">
        <is>
          <t>Kyrkan</t>
        </is>
      </c>
      <c r="I6" t="n">
        <v>8.1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17</v>
      </c>
      <c r="U6" t="n">
        <v>17</v>
      </c>
      <c r="V6" s="2" t="inlineStr">
        <is>
          <t>Kattfotslav
Blåmossa
Fällmossa
Klippfrullania
Stor revmossa
Västlig hakmossa
Spillkråka
Revlummer</t>
        </is>
      </c>
      <c r="W6">
        <f>HYPERLINK("https://klasma.github.io/Logging_1462/artfynd/A 318-2024 artfynd.xlsx", "A 318-2024")</f>
        <v/>
      </c>
      <c r="X6">
        <f>HYPERLINK("https://klasma.github.io/Logging_1462/kartor/A 318-2024 karta.png", "A 318-2024")</f>
        <v/>
      </c>
      <c r="Y6">
        <f>HYPERLINK("https://klasma.github.io/Logging_1462/kartor_geotiff/A 318-2024 georefererad karta.tif", "A 318-2024")</f>
        <v/>
      </c>
      <c r="AA6">
        <f>HYPERLINK("https://klasma.github.io/Logging_1462/klagomål/A 318-2024 FSC-klagomål.docx", "A 318-2024")</f>
        <v/>
      </c>
      <c r="AB6">
        <f>HYPERLINK("https://klasma.github.io/Logging_1462/klagomålsmail/A 318-2024 FSC-klagomål mail.docx", "A 318-2024")</f>
        <v/>
      </c>
      <c r="AC6">
        <f>HYPERLINK("https://klasma.github.io/Logging_1462/tillsyn/A 318-2024 tillsynsbegäran.docx", "A 318-2024")</f>
        <v/>
      </c>
      <c r="AD6">
        <f>HYPERLINK("https://klasma.github.io/Logging_1462/tillsynsmail/A 318-2024 tillsynsbegäran mail.docx", "A 318-2024")</f>
        <v/>
      </c>
      <c r="AE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45272</v>
      </c>
      <c r="E7" s="1" t="n">
        <v>46226</v>
      </c>
      <c r="F7" t="inlineStr">
        <is>
          <t>VÄSTRA GÖTALANDS LÄN</t>
        </is>
      </c>
      <c r="G7" t="inlineStr">
        <is>
          <t>LILLA EDET</t>
        </is>
      </c>
      <c r="I7" t="n">
        <v>3.4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17</v>
      </c>
      <c r="U7" t="n">
        <v>0</v>
      </c>
      <c r="V7" s="2" t="inlineStr">
        <is>
          <t>Kattfotslav
Blåmossa
Bronshjon
Stor revmossa
Vågbandad barkbock
Större vattensalamander
Revlummer</t>
        </is>
      </c>
      <c r="W7">
        <f>HYPERLINK("https://klasma.github.io/Logging_1462/artfynd/A 62846-2023 artfynd.xlsx", "A 62846-2023")</f>
        <v/>
      </c>
      <c r="X7">
        <f>HYPERLINK("https://klasma.github.io/Logging_1462/kartor/A 62846-2023 karta.png", "A 62846-2023")</f>
        <v/>
      </c>
      <c r="Y7">
        <f>HYPERLINK("https://klasma.github.io/Logging_1462/kartor_geotiff/A 62846-2023 georefererad karta.tif", "A 62846-2023")</f>
        <v/>
      </c>
      <c r="AA7">
        <f>HYPERLINK("https://klasma.github.io/Logging_1462/klagomål/A 62846-2023 FSC-klagomål.docx", "A 62846-2023")</f>
        <v/>
      </c>
      <c r="AB7">
        <f>HYPERLINK("https://klasma.github.io/Logging_1462/klagomålsmail/A 62846-2023 FSC-klagomål mail.docx", "A 62846-2023")</f>
        <v/>
      </c>
      <c r="AC7">
        <f>HYPERLINK("https://klasma.github.io/Logging_1462/tillsyn/A 62846-2023 tillsynsbegäran.docx", "A 62846-2023")</f>
        <v/>
      </c>
      <c r="AD7">
        <f>HYPERLINK("https://klasma.github.io/Logging_1462/tillsynsmail/A 62846-2023 tillsynsbegäran mail.docx", "A 62846-2023")</f>
        <v/>
      </c>
    </row>
    <row r="8" ht="15" customHeight="1">
      <c r="A8" t="inlineStr">
        <is>
          <t>A 34396-2023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45139</v>
      </c>
      <c r="E8" s="1" t="n">
        <v>46226</v>
      </c>
      <c r="F8" t="inlineStr">
        <is>
          <t>VÄSTRA GÖTALANDS LÄN</t>
        </is>
      </c>
      <c r="G8" t="inlineStr">
        <is>
          <t>LILLA EDET</t>
        </is>
      </c>
      <c r="I8" t="n">
        <v>7</v>
      </c>
      <c r="J8" t="n">
        <v>2</v>
      </c>
      <c r="K8" t="n">
        <v>5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24</v>
      </c>
      <c r="U8" t="n">
        <v>24</v>
      </c>
      <c r="V8" s="2" t="inlineStr">
        <is>
          <t>Björksplintborre
Blåmossa
Kambräken
Stor revmossa
Västlig hakmossa
Spillkråka
Revlummer</t>
        </is>
      </c>
      <c r="W8">
        <f>HYPERLINK("https://klasma.github.io/Logging_1462/artfynd/A 34396-2023 artfynd.xlsx", "A 34396-2023")</f>
        <v/>
      </c>
      <c r="X8">
        <f>HYPERLINK("https://klasma.github.io/Logging_1462/kartor/A 34396-2023 karta.png", "A 34396-2023")</f>
        <v/>
      </c>
      <c r="Y8">
        <f>HYPERLINK("https://klasma.github.io/Logging_1462/kartor_geotiff/A 34396-2023 georefererad karta.tif", "A 34396-2023")</f>
        <v/>
      </c>
      <c r="AA8">
        <f>HYPERLINK("https://klasma.github.io/Logging_1462/klagomål/A 34396-2023 FSC-klagomål.docx", "A 34396-2023")</f>
        <v/>
      </c>
      <c r="AB8">
        <f>HYPERLINK("https://klasma.github.io/Logging_1462/klagomålsmail/A 34396-2023 FSC-klagomål mail.docx", "A 34396-2023")</f>
        <v/>
      </c>
      <c r="AC8">
        <f>HYPERLINK("https://klasma.github.io/Logging_1462/tillsyn/A 34396-2023 tillsynsbegäran.docx", "A 34396-2023")</f>
        <v/>
      </c>
      <c r="AD8">
        <f>HYPERLINK("https://klasma.github.io/Logging_1462/tillsynsmail/A 34396-2023 tillsynsbegäran mail.docx", "A 34396-2023")</f>
        <v/>
      </c>
      <c r="AE8">
        <f>HYPERLINK("https://klasma.github.io/Logging_1462/fåglar/A 34396-2023 prioriterade fågelarter.docx", "A 34396-2023")</f>
        <v/>
      </c>
    </row>
    <row r="9" ht="15" customHeight="1">
      <c r="A9" t="inlineStr">
        <is>
          <t>A 2437-2026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46036</v>
      </c>
      <c r="E9" s="1" t="n">
        <v>46226</v>
      </c>
      <c r="F9" t="inlineStr">
        <is>
          <t>VÄSTRA GÖTALANDS LÄN</t>
        </is>
      </c>
      <c r="G9" t="inlineStr">
        <is>
          <t>LILLA EDET</t>
        </is>
      </c>
      <c r="I9" t="n">
        <v>6.8</v>
      </c>
      <c r="J9" t="n">
        <v>2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9</v>
      </c>
      <c r="U9" t="n">
        <v>6</v>
      </c>
      <c r="V9" s="2" t="inlineStr">
        <is>
          <t>Sårläka
Älg
Västlig hakmossa
Vätteros
Spillkråka
Revlummer</t>
        </is>
      </c>
      <c r="W9">
        <f>HYPERLINK("https://klasma.github.io/Logging_1462/artfynd/A 2437-2026 artfynd.xlsx", "A 2437-2026")</f>
        <v/>
      </c>
      <c r="X9">
        <f>HYPERLINK("https://klasma.github.io/Logging_1462/kartor/A 2437-2026 karta.png", "A 2437-2026")</f>
        <v/>
      </c>
      <c r="Y9">
        <f>HYPERLINK("https://klasma.github.io/Logging_1462/kartor_geotiff/A 2437-2026 georefererad karta.tif", "A 2437-2026")</f>
        <v/>
      </c>
      <c r="AA9">
        <f>HYPERLINK("https://klasma.github.io/Logging_1462/klagomål/A 2437-2026 FSC-klagomål.docx", "A 2437-2026")</f>
        <v/>
      </c>
      <c r="AB9">
        <f>HYPERLINK("https://klasma.github.io/Logging_1462/klagomålsmail/A 2437-2026 FSC-klagomål mail.docx", "A 2437-2026")</f>
        <v/>
      </c>
      <c r="AC9">
        <f>HYPERLINK("https://klasma.github.io/Logging_1462/tillsyn/A 2437-2026 tillsynsbegäran.docx", "A 2437-2026")</f>
        <v/>
      </c>
      <c r="AD9">
        <f>HYPERLINK("https://klasma.github.io/Logging_1462/tillsynsmail/A 2437-2026 tillsynsbegäran mail.docx", "A 2437-2026")</f>
        <v/>
      </c>
      <c r="AE9">
        <f>HYPERLINK("https://klasma.github.io/Logging_1462/fåglar/A 2437-2026 prioriterade fågelarter.docx", "A 2437-2026")</f>
        <v/>
      </c>
    </row>
    <row r="10" ht="15" customHeight="1">
      <c r="A10" t="inlineStr">
        <is>
          <t>A 4017-2026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46044</v>
      </c>
      <c r="E10" s="1" t="n">
        <v>46226</v>
      </c>
      <c r="F10" t="inlineStr">
        <is>
          <t>VÄSTRA GÖTALANDS LÄN</t>
        </is>
      </c>
      <c r="G10" t="inlineStr">
        <is>
          <t>LILLA EDET</t>
        </is>
      </c>
      <c r="I10" t="n">
        <v>3.3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14</v>
      </c>
      <c r="U10" t="n">
        <v>2</v>
      </c>
      <c r="V10" s="2" t="inlineStr">
        <is>
          <t>Klippfrullania
Stor revmossa
Västlig hakmossa
Spillkråka
Revlummer</t>
        </is>
      </c>
      <c r="W10">
        <f>HYPERLINK("https://klasma.github.io/Logging_1462/artfynd/A 4017-2026 artfynd.xlsx", "A 4017-2026")</f>
        <v/>
      </c>
      <c r="X10">
        <f>HYPERLINK("https://klasma.github.io/Logging_1462/kartor/A 4017-2026 karta.png", "A 4017-2026")</f>
        <v/>
      </c>
      <c r="Y10">
        <f>HYPERLINK("https://klasma.github.io/Logging_1462/kartor_geotiff/A 4017-2026 georefererad karta.tif", "A 4017-2026")</f>
        <v/>
      </c>
      <c r="AA10">
        <f>HYPERLINK("https://klasma.github.io/Logging_1462/klagomål/A 4017-2026 FSC-klagomål.docx", "A 4017-2026")</f>
        <v/>
      </c>
      <c r="AB10">
        <f>HYPERLINK("https://klasma.github.io/Logging_1462/klagomålsmail/A 4017-2026 FSC-klagomål mail.docx", "A 4017-2026")</f>
        <v/>
      </c>
      <c r="AC10">
        <f>HYPERLINK("https://klasma.github.io/Logging_1462/tillsyn/A 4017-2026 tillsynsbegäran.docx", "A 4017-2026")</f>
        <v/>
      </c>
      <c r="AD10">
        <f>HYPERLINK("https://klasma.github.io/Logging_1462/tillsynsmail/A 4017-2026 tillsynsbegäran mail.docx", "A 4017-2026")</f>
        <v/>
      </c>
      <c r="AE10">
        <f>HYPERLINK("https://klasma.github.io/Logging_1462/fåglar/A 4017-2026 prioriterade fågelarter.docx", "A 4017-2026")</f>
        <v/>
      </c>
    </row>
    <row r="11" ht="15" customHeight="1">
      <c r="A11" t="inlineStr">
        <is>
          <t>A 25298-2024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45462</v>
      </c>
      <c r="E11" s="1" t="n">
        <v>46226</v>
      </c>
      <c r="F11" t="inlineStr">
        <is>
          <t>VÄSTRA GÖTALANDS LÄN</t>
        </is>
      </c>
      <c r="G11" t="inlineStr">
        <is>
          <t>LILLA EDET</t>
        </is>
      </c>
      <c r="H11" t="inlineStr">
        <is>
          <t>Kommuner</t>
        </is>
      </c>
      <c r="I11" t="n">
        <v>5.9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Björksplintborre
Västlig hakmossa
Spillkråka
Revlummer</t>
        </is>
      </c>
      <c r="W11">
        <f>HYPERLINK("https://klasma.github.io/Logging_1462/artfynd/A 25298-2024 artfynd.xlsx", "A 25298-2024")</f>
        <v/>
      </c>
      <c r="X11">
        <f>HYPERLINK("https://klasma.github.io/Logging_1462/kartor/A 25298-2024 karta.png", "A 25298-2024")</f>
        <v/>
      </c>
      <c r="Y11">
        <f>HYPERLINK("https://klasma.github.io/Logging_1462/kartor_geotiff/A 25298-2024 georefererad karta.tif", "A 25298-2024")</f>
        <v/>
      </c>
      <c r="AA11">
        <f>HYPERLINK("https://klasma.github.io/Logging_1462/klagomål/A 25298-2024 FSC-klagomål.docx", "A 25298-2024")</f>
        <v/>
      </c>
      <c r="AB11">
        <f>HYPERLINK("https://klasma.github.io/Logging_1462/klagomålsmail/A 25298-2024 FSC-klagomål mail.docx", "A 25298-2024")</f>
        <v/>
      </c>
      <c r="AC11">
        <f>HYPERLINK("https://klasma.github.io/Logging_1462/tillsyn/A 25298-2024 tillsynsbegäran.docx", "A 25298-2024")</f>
        <v/>
      </c>
      <c r="AD11">
        <f>HYPERLINK("https://klasma.github.io/Logging_1462/tillsynsmail/A 25298-2024 tillsynsbegäran mail.docx", "A 25298-2024")</f>
        <v/>
      </c>
      <c r="AE11">
        <f>HYPERLINK("https://klasma.github.io/Logging_1462/fåglar/A 25298-2024 prioriterade fågelarter.docx", "A 25298-2024")</f>
        <v/>
      </c>
    </row>
    <row r="12" ht="15" customHeight="1">
      <c r="A12" t="inlineStr">
        <is>
          <t>A 28512-2025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45819</v>
      </c>
      <c r="E12" s="1" t="n">
        <v>46226</v>
      </c>
      <c r="F12" t="inlineStr">
        <is>
          <t>VÄSTRA GÖTALANDS LÄN</t>
        </is>
      </c>
      <c r="G12" t="inlineStr">
        <is>
          <t>LILLA EDET</t>
        </is>
      </c>
      <c r="I12" t="n">
        <v>10.9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19</v>
      </c>
      <c r="U12" t="n">
        <v>19</v>
      </c>
      <c r="V12" s="2" t="inlineStr">
        <is>
          <t>Blåmossa
Västlig hakmossa
Spillkråka
Tjäder</t>
        </is>
      </c>
      <c r="W12">
        <f>HYPERLINK("https://klasma.github.io/Logging_1462/artfynd/A 28512-2025 artfynd.xlsx", "A 28512-2025")</f>
        <v/>
      </c>
      <c r="X12">
        <f>HYPERLINK("https://klasma.github.io/Logging_1462/kartor/A 28512-2025 karta.png", "A 28512-2025")</f>
        <v/>
      </c>
      <c r="Y12">
        <f>HYPERLINK("https://klasma.github.io/Logging_1462/kartor_geotiff/A 28512-2025 georefererad karta.tif", "A 28512-2025")</f>
        <v/>
      </c>
      <c r="AA12">
        <f>HYPERLINK("https://klasma.github.io/Logging_1462/klagomål/A 28512-2025 FSC-klagomål.docx", "A 28512-2025")</f>
        <v/>
      </c>
      <c r="AB12">
        <f>HYPERLINK("https://klasma.github.io/Logging_1462/klagomålsmail/A 28512-2025 FSC-klagomål mail.docx", "A 28512-2025")</f>
        <v/>
      </c>
      <c r="AC12">
        <f>HYPERLINK("https://klasma.github.io/Logging_1462/tillsyn/A 28512-2025 tillsynsbegäran.docx", "A 28512-2025")</f>
        <v/>
      </c>
      <c r="AD12">
        <f>HYPERLINK("https://klasma.github.io/Logging_1462/tillsynsmail/A 28512-2025 tillsynsbegäran mail.docx", "A 28512-2025")</f>
        <v/>
      </c>
      <c r="AE12">
        <f>HYPERLINK("https://klasma.github.io/Logging_1462/fåglar/A 28512-2025 prioriterade fågelarter.docx", "A 28512-2025")</f>
        <v/>
      </c>
    </row>
    <row r="13" ht="15" customHeight="1">
      <c r="A13" t="inlineStr">
        <is>
          <t>A 23563-2023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45072</v>
      </c>
      <c r="E13" s="1" t="n">
        <v>46226</v>
      </c>
      <c r="F13" t="inlineStr">
        <is>
          <t>VÄSTRA GÖTALANDS LÄN</t>
        </is>
      </c>
      <c r="G13" t="inlineStr">
        <is>
          <t>LILLA EDET</t>
        </is>
      </c>
      <c r="H13" t="inlineStr">
        <is>
          <t>Kyrkan</t>
        </is>
      </c>
      <c r="I13" t="n">
        <v>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7</v>
      </c>
      <c r="U13" t="n">
        <v>7</v>
      </c>
      <c r="V13" s="2" t="inlineStr">
        <is>
          <t>Nordfladdermus
Dvärgpipistrell
Vattenfladdermus
Grönvit nattviol</t>
        </is>
      </c>
      <c r="W13">
        <f>HYPERLINK("https://klasma.github.io/Logging_1462/artfynd/A 23563-2023 artfynd.xlsx", "A 23563-2023")</f>
        <v/>
      </c>
      <c r="X13">
        <f>HYPERLINK("https://klasma.github.io/Logging_1462/kartor/A 23563-2023 karta.png", "A 23563-2023")</f>
        <v/>
      </c>
      <c r="Y13">
        <f>HYPERLINK("https://klasma.github.io/Logging_1462/kartor_geotiff/A 23563-2023 georefererad karta.tif", "A 23563-2023")</f>
        <v/>
      </c>
      <c r="AA13">
        <f>HYPERLINK("https://klasma.github.io/Logging_1462/klagomål/A 23563-2023 FSC-klagomål.docx", "A 23563-2023")</f>
        <v/>
      </c>
      <c r="AB13">
        <f>HYPERLINK("https://klasma.github.io/Logging_1462/klagomålsmail/A 23563-2023 FSC-klagomål mail.docx", "A 23563-2023")</f>
        <v/>
      </c>
      <c r="AC13">
        <f>HYPERLINK("https://klasma.github.io/Logging_1462/tillsyn/A 23563-2023 tillsynsbegäran.docx", "A 23563-2023")</f>
        <v/>
      </c>
      <c r="AD13">
        <f>HYPERLINK("https://klasma.github.io/Logging_1462/tillsynsmail/A 23563-2023 tillsynsbegäran mail.docx", "A 23563-2023")</f>
        <v/>
      </c>
    </row>
    <row r="14" ht="15" customHeight="1">
      <c r="A14" t="inlineStr">
        <is>
          <t>A 24290-2026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46169</v>
      </c>
      <c r="E14" s="1" t="n">
        <v>46226</v>
      </c>
      <c r="F14" t="inlineStr">
        <is>
          <t>VÄSTRA GÖTALANDS LÄN</t>
        </is>
      </c>
      <c r="G14" t="inlineStr">
        <is>
          <t>LILLA EDET</t>
        </is>
      </c>
      <c r="I14" t="n">
        <v>3.6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5</v>
      </c>
      <c r="V14" s="2" t="inlineStr">
        <is>
          <t>Blanksvart trämyra
Grönpyrola
Västlig hakmossa
Spillkråka</t>
        </is>
      </c>
      <c r="W14">
        <f>HYPERLINK("https://klasma.github.io/Logging_1462/artfynd/A 24290-2026 artfynd.xlsx", "A 24290-2026")</f>
        <v/>
      </c>
      <c r="X14">
        <f>HYPERLINK("https://klasma.github.io/Logging_1462/kartor/A 24290-2026 karta.png", "A 24290-2026")</f>
        <v/>
      </c>
      <c r="Y14">
        <f>HYPERLINK("https://klasma.github.io/Logging_1462/kartor_geotiff/A 24290-2026 georefererad karta.tif", "A 24290-2026")</f>
        <v/>
      </c>
      <c r="AA14">
        <f>HYPERLINK("https://klasma.github.io/Logging_1462/klagomål/A 24290-2026 FSC-klagomål.docx", "A 24290-2026")</f>
        <v/>
      </c>
      <c r="AB14">
        <f>HYPERLINK("https://klasma.github.io/Logging_1462/klagomålsmail/A 24290-2026 FSC-klagomål mail.docx", "A 24290-2026")</f>
        <v/>
      </c>
      <c r="AC14">
        <f>HYPERLINK("https://klasma.github.io/Logging_1462/tillsyn/A 24290-2026 tillsynsbegäran.docx", "A 24290-2026")</f>
        <v/>
      </c>
      <c r="AD14">
        <f>HYPERLINK("https://klasma.github.io/Logging_1462/tillsynsmail/A 24290-2026 tillsynsbegäran mail.docx", "A 24290-2026")</f>
        <v/>
      </c>
      <c r="AE14">
        <f>HYPERLINK("https://klasma.github.io/Logging_1462/fåglar/A 24290-2026 prioriterade fågelarter.docx", "A 24290-2026")</f>
        <v/>
      </c>
    </row>
    <row r="15" ht="15" customHeight="1">
      <c r="A15" t="inlineStr">
        <is>
          <t>A 43771-2023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45187</v>
      </c>
      <c r="E15" s="1" t="n">
        <v>46226</v>
      </c>
      <c r="F15" t="inlineStr">
        <is>
          <t>VÄSTRA GÖTALANDS LÄN</t>
        </is>
      </c>
      <c r="G15" t="inlineStr">
        <is>
          <t>LILLA EDET</t>
        </is>
      </c>
      <c r="I15" t="n">
        <v>1.7</v>
      </c>
      <c r="J15" t="n">
        <v>1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Ask
Slåtterfibbla
Vätteros
Blåsippa</t>
        </is>
      </c>
      <c r="W15">
        <f>HYPERLINK("https://klasma.github.io/Logging_1462/artfynd/A 43771-2023 artfynd.xlsx", "A 43771-2023")</f>
        <v/>
      </c>
      <c r="X15">
        <f>HYPERLINK("https://klasma.github.io/Logging_1462/kartor/A 43771-2023 karta.png", "A 43771-2023")</f>
        <v/>
      </c>
      <c r="Y15">
        <f>HYPERLINK("https://klasma.github.io/Logging_1462/kartor_geotiff/A 43771-2023 georefererad karta.tif", "A 43771-2023")</f>
        <v/>
      </c>
      <c r="AA15">
        <f>HYPERLINK("https://klasma.github.io/Logging_1462/klagomål/A 43771-2023 FSC-klagomål.docx", "A 43771-2023")</f>
        <v/>
      </c>
      <c r="AB15">
        <f>HYPERLINK("https://klasma.github.io/Logging_1462/klagomålsmail/A 43771-2023 FSC-klagomål mail.docx", "A 43771-2023")</f>
        <v/>
      </c>
      <c r="AC15">
        <f>HYPERLINK("https://klasma.github.io/Logging_1462/tillsyn/A 43771-2023 tillsynsbegäran.docx", "A 43771-2023")</f>
        <v/>
      </c>
      <c r="AD15">
        <f>HYPERLINK("https://klasma.github.io/Logging_1462/tillsynsmail/A 43771-2023 tillsynsbegäran mail.docx", "A 43771-2023")</f>
        <v/>
      </c>
    </row>
    <row r="16" ht="15" customHeight="1">
      <c r="A16" t="inlineStr">
        <is>
          <t>A 25655-2023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45089</v>
      </c>
      <c r="E16" s="1" t="n">
        <v>46226</v>
      </c>
      <c r="F16" t="inlineStr">
        <is>
          <t>VÄSTRA GÖTALANDS LÄN</t>
        </is>
      </c>
      <c r="G16" t="inlineStr">
        <is>
          <t>LILLA EDET</t>
        </is>
      </c>
      <c r="I16" t="n">
        <v>5.1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8</v>
      </c>
      <c r="U16" t="n">
        <v>6</v>
      </c>
      <c r="V16" s="2" t="inlineStr">
        <is>
          <t>Bergjohannesört
Svinrot
Fläcknycklar</t>
        </is>
      </c>
      <c r="W16">
        <f>HYPERLINK("https://klasma.github.io/Logging_1462/artfynd/A 25655-2023 artfynd.xlsx", "A 25655-2023")</f>
        <v/>
      </c>
      <c r="X16">
        <f>HYPERLINK("https://klasma.github.io/Logging_1462/kartor/A 25655-2023 karta.png", "A 25655-2023")</f>
        <v/>
      </c>
      <c r="Y16">
        <f>HYPERLINK("https://klasma.github.io/Logging_1462/kartor_geotiff/A 25655-2023 georefererad karta.tif", "A 25655-2023")</f>
        <v/>
      </c>
      <c r="AA16">
        <f>HYPERLINK("https://klasma.github.io/Logging_1462/klagomål/A 25655-2023 FSC-klagomål.docx", "A 25655-2023")</f>
        <v/>
      </c>
      <c r="AB16">
        <f>HYPERLINK("https://klasma.github.io/Logging_1462/klagomålsmail/A 25655-2023 FSC-klagomål mail.docx", "A 25655-2023")</f>
        <v/>
      </c>
      <c r="AC16">
        <f>HYPERLINK("https://klasma.github.io/Logging_1462/tillsyn/A 25655-2023 tillsynsbegäran.docx", "A 25655-2023")</f>
        <v/>
      </c>
      <c r="AD16">
        <f>HYPERLINK("https://klasma.github.io/Logging_1462/tillsynsmail/A 25655-2023 tillsynsbegäran mail.docx", "A 25655-2023")</f>
        <v/>
      </c>
    </row>
    <row r="17" ht="15" customHeight="1">
      <c r="A17" t="inlineStr">
        <is>
          <t>A 17376-2026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46119</v>
      </c>
      <c r="E17" s="1" t="n">
        <v>46226</v>
      </c>
      <c r="F17" t="inlineStr">
        <is>
          <t>VÄSTRA GÖTALANDS LÄN</t>
        </is>
      </c>
      <c r="G17" t="inlineStr">
        <is>
          <t>LILLA EDET</t>
        </is>
      </c>
      <c r="I17" t="n">
        <v>2.5</v>
      </c>
      <c r="J17" t="n">
        <v>0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3</v>
      </c>
      <c r="T17" t="n">
        <v>3</v>
      </c>
      <c r="U17" t="n">
        <v>0</v>
      </c>
      <c r="V17" s="2" t="inlineStr">
        <is>
          <t>Slåttergubbe
Almsnabbvinge
Granspira</t>
        </is>
      </c>
      <c r="W17">
        <f>HYPERLINK("https://klasma.github.io/Logging_1462/artfynd/A 17376-2026 artfynd.xlsx", "A 17376-2026")</f>
        <v/>
      </c>
      <c r="X17">
        <f>HYPERLINK("https://klasma.github.io/Logging_1462/kartor/A 17376-2026 karta.png", "A 17376-2026")</f>
        <v/>
      </c>
      <c r="Y17">
        <f>HYPERLINK("https://klasma.github.io/Logging_1462/kartor_geotiff/A 17376-2026 georefererad karta.tif", "A 17376-2026")</f>
        <v/>
      </c>
      <c r="AA17">
        <f>HYPERLINK("https://klasma.github.io/Logging_1462/klagomål/A 17376-2026 FSC-klagomål.docx", "A 17376-2026")</f>
        <v/>
      </c>
      <c r="AB17">
        <f>HYPERLINK("https://klasma.github.io/Logging_1462/klagomålsmail/A 17376-2026 FSC-klagomål mail.docx", "A 17376-2026")</f>
        <v/>
      </c>
      <c r="AC17">
        <f>HYPERLINK("https://klasma.github.io/Logging_1462/tillsyn/A 17376-2026 tillsynsbegäran.docx", "A 17376-2026")</f>
        <v/>
      </c>
      <c r="AD17">
        <f>HYPERLINK("https://klasma.github.io/Logging_1462/tillsynsmail/A 17376-2026 tillsynsbegäran mail.docx", "A 17376-2026")</f>
        <v/>
      </c>
    </row>
    <row r="18" ht="15" customHeight="1">
      <c r="A18" t="inlineStr">
        <is>
          <t>A 28021-2023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45098</v>
      </c>
      <c r="E18" s="1" t="n">
        <v>46226</v>
      </c>
      <c r="F18" t="inlineStr">
        <is>
          <t>VÄSTRA GÖTALANDS LÄN</t>
        </is>
      </c>
      <c r="G18" t="inlineStr">
        <is>
          <t>LILLA EDET</t>
        </is>
      </c>
      <c r="I18" t="n">
        <v>1.5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Stor revmossa
Nattskärra
Törnskata</t>
        </is>
      </c>
      <c r="W18">
        <f>HYPERLINK("https://klasma.github.io/Logging_1462/artfynd/A 28021-2023 artfynd.xlsx", "A 28021-2023")</f>
        <v/>
      </c>
      <c r="X18">
        <f>HYPERLINK("https://klasma.github.io/Logging_1462/kartor/A 28021-2023 karta.png", "A 28021-2023")</f>
        <v/>
      </c>
      <c r="Y18">
        <f>HYPERLINK("https://klasma.github.io/Logging_1462/kartor_geotiff/A 28021-2023 georefererad karta.tif", "A 28021-2023")</f>
        <v/>
      </c>
      <c r="AA18">
        <f>HYPERLINK("https://klasma.github.io/Logging_1462/klagomål/A 28021-2023 FSC-klagomål.docx", "A 28021-2023")</f>
        <v/>
      </c>
      <c r="AB18">
        <f>HYPERLINK("https://klasma.github.io/Logging_1462/klagomålsmail/A 28021-2023 FSC-klagomål mail.docx", "A 28021-2023")</f>
        <v/>
      </c>
      <c r="AC18">
        <f>HYPERLINK("https://klasma.github.io/Logging_1462/tillsyn/A 28021-2023 tillsynsbegäran.docx", "A 28021-2023")</f>
        <v/>
      </c>
      <c r="AD18">
        <f>HYPERLINK("https://klasma.github.io/Logging_1462/tillsynsmail/A 28021-2023 tillsynsbegäran mail.docx", "A 28021-2023")</f>
        <v/>
      </c>
      <c r="AE18">
        <f>HYPERLINK("https://klasma.github.io/Logging_1462/fåglar/A 28021-2023 prioriterade fågelarter.docx", "A 28021-2023")</f>
        <v/>
      </c>
    </row>
    <row r="19" ht="15" customHeight="1">
      <c r="A19" t="inlineStr">
        <is>
          <t>A 23559-2023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45072</v>
      </c>
      <c r="E19" s="1" t="n">
        <v>46226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Kyrkan</t>
        </is>
      </c>
      <c r="I19" t="n">
        <v>1.7</v>
      </c>
      <c r="J19" t="n">
        <v>2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8</v>
      </c>
      <c r="U19" t="n">
        <v>8</v>
      </c>
      <c r="V19" s="2" t="inlineStr">
        <is>
          <t>Flodpärlmussla
Spillkråka
Revlummer</t>
        </is>
      </c>
      <c r="W19">
        <f>HYPERLINK("https://klasma.github.io/Logging_1462/artfynd/A 23559-2023 artfynd.xlsx", "A 23559-2023")</f>
        <v/>
      </c>
      <c r="X19">
        <f>HYPERLINK("https://klasma.github.io/Logging_1462/kartor/A 23559-2023 karta.png", "A 23559-2023")</f>
        <v/>
      </c>
      <c r="Y19">
        <f>HYPERLINK("https://klasma.github.io/Logging_1462/kartor_geotiff/A 23559-2023 georefererad karta.tif", "A 23559-2023")</f>
        <v/>
      </c>
      <c r="AA19">
        <f>HYPERLINK("https://klasma.github.io/Logging_1462/klagomål/A 23559-2023 FSC-klagomål.docx", "A 23559-2023")</f>
        <v/>
      </c>
      <c r="AB19">
        <f>HYPERLINK("https://klasma.github.io/Logging_1462/klagomålsmail/A 23559-2023 FSC-klagomål mail.docx", "A 23559-2023")</f>
        <v/>
      </c>
      <c r="AC19">
        <f>HYPERLINK("https://klasma.github.io/Logging_1462/tillsyn/A 23559-2023 tillsynsbegäran.docx", "A 23559-2023")</f>
        <v/>
      </c>
      <c r="AD19">
        <f>HYPERLINK("https://klasma.github.io/Logging_1462/tillsynsmail/A 23559-2023 tillsynsbegäran mail.docx", "A 23559-2023")</f>
        <v/>
      </c>
      <c r="AE19">
        <f>HYPERLINK("https://klasma.github.io/Logging_1462/fåglar/A 23559-2023 prioriterade fågelarter.docx", "A 23559-2023")</f>
        <v/>
      </c>
    </row>
    <row r="20" ht="15" customHeight="1">
      <c r="A20" t="inlineStr">
        <is>
          <t>A 5834-2026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46052</v>
      </c>
      <c r="E20" s="1" t="n">
        <v>46226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Sveaskog</t>
        </is>
      </c>
      <c r="I20" t="n">
        <v>9.9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9</v>
      </c>
      <c r="U20" t="n">
        <v>8</v>
      </c>
      <c r="V20" s="2" t="inlineStr">
        <is>
          <t>Knärot
Havstulpanlav
Tjäder</t>
        </is>
      </c>
      <c r="W20">
        <f>HYPERLINK("https://klasma.github.io/Logging_1462/artfynd/A 5834-2026 artfynd.xlsx", "A 5834-2026")</f>
        <v/>
      </c>
      <c r="X20">
        <f>HYPERLINK("https://klasma.github.io/Logging_1462/kartor/A 5834-2026 karta.png", "A 5834-2026")</f>
        <v/>
      </c>
      <c r="Y20">
        <f>HYPERLINK("https://klasma.github.io/Logging_1462/kartor_geotiff/A 5834-2026 georefererad karta.tif", "A 5834-2026")</f>
        <v/>
      </c>
      <c r="Z20">
        <f>HYPERLINK("https://klasma.github.io/Logging_1462/knärot/A 5834-2026 karta knärot.png", "A 5834-2026")</f>
        <v/>
      </c>
      <c r="AA20">
        <f>HYPERLINK("https://klasma.github.io/Logging_1462/klagomål/A 5834-2026 FSC-klagomål.docx", "A 5834-2026")</f>
        <v/>
      </c>
      <c r="AB20">
        <f>HYPERLINK("https://klasma.github.io/Logging_1462/klagomålsmail/A 5834-2026 FSC-klagomål mail.docx", "A 5834-2026")</f>
        <v/>
      </c>
      <c r="AC20">
        <f>HYPERLINK("https://klasma.github.io/Logging_1462/tillsyn/A 5834-2026 tillsynsbegäran.docx", "A 5834-2026")</f>
        <v/>
      </c>
      <c r="AD20">
        <f>HYPERLINK("https://klasma.github.io/Logging_1462/tillsynsmail/A 5834-2026 tillsynsbegäran mail.docx", "A 5834-2026")</f>
        <v/>
      </c>
      <c r="AE20">
        <f>HYPERLINK("https://klasma.github.io/Logging_1462/fåglar/A 5834-2026 prioriterade fågelarter.docx", "A 5834-2026")</f>
        <v/>
      </c>
    </row>
    <row r="21" ht="15" customHeight="1">
      <c r="A21" t="inlineStr">
        <is>
          <t>A 5866-2026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46052</v>
      </c>
      <c r="E21" s="1" t="n">
        <v>46226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Sveaskog</t>
        </is>
      </c>
      <c r="I21" t="n">
        <v>3.1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9</v>
      </c>
      <c r="U21" t="n">
        <v>9</v>
      </c>
      <c r="V21" s="2" t="inlineStr">
        <is>
          <t>Spillkråka
Revlummer</t>
        </is>
      </c>
      <c r="W21">
        <f>HYPERLINK("https://klasma.github.io/Logging_1462/artfynd/A 5866-2026 artfynd.xlsx", "A 5866-2026")</f>
        <v/>
      </c>
      <c r="X21">
        <f>HYPERLINK("https://klasma.github.io/Logging_1462/kartor/A 5866-2026 karta.png", "A 5866-2026")</f>
        <v/>
      </c>
      <c r="Y21">
        <f>HYPERLINK("https://klasma.github.io/Logging_1462/kartor_geotiff/A 5866-2026 georefererad karta.tif", "A 5866-2026")</f>
        <v/>
      </c>
      <c r="AA21">
        <f>HYPERLINK("https://klasma.github.io/Logging_1462/klagomål/A 5866-2026 FSC-klagomål.docx", "A 5866-2026")</f>
        <v/>
      </c>
      <c r="AB21">
        <f>HYPERLINK("https://klasma.github.io/Logging_1462/klagomålsmail/A 5866-2026 FSC-klagomål mail.docx", "A 5866-2026")</f>
        <v/>
      </c>
      <c r="AC21">
        <f>HYPERLINK("https://klasma.github.io/Logging_1462/tillsyn/A 5866-2026 tillsynsbegäran.docx", "A 5866-2026")</f>
        <v/>
      </c>
      <c r="AD21">
        <f>HYPERLINK("https://klasma.github.io/Logging_1462/tillsynsmail/A 5866-2026 tillsynsbegäran mail.docx", "A 5866-2026")</f>
        <v/>
      </c>
      <c r="AE21">
        <f>HYPERLINK("https://klasma.github.io/Logging_1462/fåglar/A 5866-2026 prioriterade fågelarter.docx", "A 5866-2026")</f>
        <v/>
      </c>
    </row>
    <row r="22" ht="15" customHeight="1">
      <c r="A22" t="inlineStr">
        <is>
          <t>A 23497-2023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45072</v>
      </c>
      <c r="E22" s="1" t="n">
        <v>46226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1.6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Stor revmossa
Spillkråka</t>
        </is>
      </c>
      <c r="W22">
        <f>HYPERLINK("https://klasma.github.io/Logging_1462/artfynd/A 23497-2023 artfynd.xlsx", "A 23497-2023")</f>
        <v/>
      </c>
      <c r="X22">
        <f>HYPERLINK("https://klasma.github.io/Logging_1462/kartor/A 23497-2023 karta.png", "A 23497-2023")</f>
        <v/>
      </c>
      <c r="Y22">
        <f>HYPERLINK("https://klasma.github.io/Logging_1462/kartor_geotiff/A 23497-2023 georefererad karta.tif", "A 23497-2023")</f>
        <v/>
      </c>
      <c r="AA22">
        <f>HYPERLINK("https://klasma.github.io/Logging_1462/klagomål/A 23497-2023 FSC-klagomål.docx", "A 23497-2023")</f>
        <v/>
      </c>
      <c r="AB22">
        <f>HYPERLINK("https://klasma.github.io/Logging_1462/klagomålsmail/A 23497-2023 FSC-klagomål mail.docx", "A 23497-2023")</f>
        <v/>
      </c>
      <c r="AC22">
        <f>HYPERLINK("https://klasma.github.io/Logging_1462/tillsyn/A 23497-2023 tillsynsbegäran.docx", "A 23497-2023")</f>
        <v/>
      </c>
      <c r="AD22">
        <f>HYPERLINK("https://klasma.github.io/Logging_1462/tillsynsmail/A 23497-2023 tillsynsbegäran mail.docx", "A 23497-2023")</f>
        <v/>
      </c>
      <c r="AE22">
        <f>HYPERLINK("https://klasma.github.io/Logging_1462/fåglar/A 23497-2023 prioriterade fågelarter.docx", "A 23497-2023")</f>
        <v/>
      </c>
    </row>
    <row r="23" ht="15" customHeight="1">
      <c r="A23" t="inlineStr">
        <is>
          <t>A 23494-2023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45072</v>
      </c>
      <c r="E23" s="1" t="n">
        <v>46226</v>
      </c>
      <c r="F23" t="inlineStr">
        <is>
          <t>VÄSTRA GÖTALANDS LÄN</t>
        </is>
      </c>
      <c r="G23" t="inlineStr">
        <is>
          <t>LILLA EDET</t>
        </is>
      </c>
      <c r="H23" t="inlineStr">
        <is>
          <t>Kyrkan</t>
        </is>
      </c>
      <c r="I23" t="n">
        <v>1.3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Spillkråka
Revlummer</t>
        </is>
      </c>
      <c r="W23">
        <f>HYPERLINK("https://klasma.github.io/Logging_1462/artfynd/A 23494-2023 artfynd.xlsx", "A 23494-2023")</f>
        <v/>
      </c>
      <c r="X23">
        <f>HYPERLINK("https://klasma.github.io/Logging_1462/kartor/A 23494-2023 karta.png", "A 23494-2023")</f>
        <v/>
      </c>
      <c r="Y23">
        <f>HYPERLINK("https://klasma.github.io/Logging_1462/kartor_geotiff/A 23494-2023 georefererad karta.tif", "A 23494-2023")</f>
        <v/>
      </c>
      <c r="AA23">
        <f>HYPERLINK("https://klasma.github.io/Logging_1462/klagomål/A 23494-2023 FSC-klagomål.docx", "A 23494-2023")</f>
        <v/>
      </c>
      <c r="AB23">
        <f>HYPERLINK("https://klasma.github.io/Logging_1462/klagomålsmail/A 23494-2023 FSC-klagomål mail.docx", "A 23494-2023")</f>
        <v/>
      </c>
      <c r="AC23">
        <f>HYPERLINK("https://klasma.github.io/Logging_1462/tillsyn/A 23494-2023 tillsynsbegäran.docx", "A 23494-2023")</f>
        <v/>
      </c>
      <c r="AD23">
        <f>HYPERLINK("https://klasma.github.io/Logging_1462/tillsynsmail/A 23494-2023 tillsynsbegäran mail.docx", "A 23494-2023")</f>
        <v/>
      </c>
      <c r="AE23">
        <f>HYPERLINK("https://klasma.github.io/Logging_1462/fåglar/A 23494-2023 prioriterade fågelarter.docx", "A 23494-2023")</f>
        <v/>
      </c>
    </row>
    <row r="24" ht="15" customHeight="1">
      <c r="A24" t="inlineStr">
        <is>
          <t>A 13699-2024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45390</v>
      </c>
      <c r="E24" s="1" t="n">
        <v>46226</v>
      </c>
      <c r="F24" t="inlineStr">
        <is>
          <t>VÄSTRA GÖTALANDS LÄN</t>
        </is>
      </c>
      <c r="G24" t="inlineStr">
        <is>
          <t>LILLA EDET</t>
        </is>
      </c>
      <c r="I24" t="n">
        <v>6.6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7</v>
      </c>
      <c r="U24" t="n">
        <v>0</v>
      </c>
      <c r="V24" s="2" t="inlineStr">
        <is>
          <t>Västlig hakmossa
Spillkråka</t>
        </is>
      </c>
      <c r="W24">
        <f>HYPERLINK("https://klasma.github.io/Logging_1462/artfynd/A 13699-2024 artfynd.xlsx", "A 13699-2024")</f>
        <v/>
      </c>
      <c r="X24">
        <f>HYPERLINK("https://klasma.github.io/Logging_1462/kartor/A 13699-2024 karta.png", "A 13699-2024")</f>
        <v/>
      </c>
      <c r="Y24">
        <f>HYPERLINK("https://klasma.github.io/Logging_1462/kartor_geotiff/A 13699-2024 georefererad karta.tif", "A 13699-2024")</f>
        <v/>
      </c>
      <c r="AA24">
        <f>HYPERLINK("https://klasma.github.io/Logging_1462/klagomål/A 13699-2024 FSC-klagomål.docx", "A 13699-2024")</f>
        <v/>
      </c>
      <c r="AB24">
        <f>HYPERLINK("https://klasma.github.io/Logging_1462/klagomålsmail/A 13699-2024 FSC-klagomål mail.docx", "A 13699-2024")</f>
        <v/>
      </c>
      <c r="AC24">
        <f>HYPERLINK("https://klasma.github.io/Logging_1462/tillsyn/A 13699-2024 tillsynsbegäran.docx", "A 13699-2024")</f>
        <v/>
      </c>
      <c r="AD24">
        <f>HYPERLINK("https://klasma.github.io/Logging_1462/tillsynsmail/A 13699-2024 tillsynsbegäran mail.docx", "A 13699-2024")</f>
        <v/>
      </c>
      <c r="AE24">
        <f>HYPERLINK("https://klasma.github.io/Logging_1462/fåglar/A 13699-2024 prioriterade fågelarter.docx", "A 13699-2024")</f>
        <v/>
      </c>
    </row>
    <row r="25" ht="15" customHeight="1">
      <c r="A25" t="inlineStr">
        <is>
          <t>A 49384-2023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45205</v>
      </c>
      <c r="E25" s="1" t="n">
        <v>46226</v>
      </c>
      <c r="F25" t="inlineStr">
        <is>
          <t>VÄSTRA GÖTALANDS LÄN</t>
        </is>
      </c>
      <c r="G25" t="inlineStr">
        <is>
          <t>LILLA EDET</t>
        </is>
      </c>
      <c r="H25" t="inlineStr">
        <is>
          <t>Kyrkan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Kattfotslav</t>
        </is>
      </c>
      <c r="W25">
        <f>HYPERLINK("https://klasma.github.io/Logging_1462/artfynd/A 49384-2023 artfynd.xlsx", "A 49384-2023")</f>
        <v/>
      </c>
      <c r="X25">
        <f>HYPERLINK("https://klasma.github.io/Logging_1462/kartor/A 49384-2023 karta.png", "A 49384-2023")</f>
        <v/>
      </c>
      <c r="Y25">
        <f>HYPERLINK("https://klasma.github.io/Logging_1462/kartor_geotiff/A 49384-2023 georefererad karta.tif", "A 49384-2023")</f>
        <v/>
      </c>
      <c r="AA25">
        <f>HYPERLINK("https://klasma.github.io/Logging_1462/klagomål/A 49384-2023 FSC-klagomål.docx", "A 49384-2023")</f>
        <v/>
      </c>
      <c r="AB25">
        <f>HYPERLINK("https://klasma.github.io/Logging_1462/klagomålsmail/A 49384-2023 FSC-klagomål mail.docx", "A 49384-2023")</f>
        <v/>
      </c>
      <c r="AC25">
        <f>HYPERLINK("https://klasma.github.io/Logging_1462/tillsyn/A 49384-2023 tillsynsbegäran.docx", "A 49384-2023")</f>
        <v/>
      </c>
      <c r="AD25">
        <f>HYPERLINK("https://klasma.github.io/Logging_1462/tillsynsmail/A 49384-2023 tillsynsbegäran mail.docx", "A 49384-2023")</f>
        <v/>
      </c>
    </row>
    <row r="26" ht="15" customHeight="1">
      <c r="A26" t="inlineStr">
        <is>
          <t>A 41756-2025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45902</v>
      </c>
      <c r="E26" s="1" t="n">
        <v>46226</v>
      </c>
      <c r="F26" t="inlineStr">
        <is>
          <t>VÄSTRA GÖTALANDS LÄN</t>
        </is>
      </c>
      <c r="G26" t="inlineStr">
        <is>
          <t>LILLA EDET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Mindre vattensalamander</t>
        </is>
      </c>
      <c r="W26">
        <f>HYPERLINK("https://klasma.github.io/Logging_1462/artfynd/A 41756-2025 artfynd.xlsx", "A 41756-2025")</f>
        <v/>
      </c>
      <c r="X26">
        <f>HYPERLINK("https://klasma.github.io/Logging_1462/kartor/A 41756-2025 karta.png", "A 41756-2025")</f>
        <v/>
      </c>
      <c r="Y26">
        <f>HYPERLINK("https://klasma.github.io/Logging_1462/kartor_geotiff/A 41756-2025 georefererad karta.tif", "A 41756-2025")</f>
        <v/>
      </c>
      <c r="AA26">
        <f>HYPERLINK("https://klasma.github.io/Logging_1462/klagomål/A 41756-2025 FSC-klagomål.docx", "A 41756-2025")</f>
        <v/>
      </c>
      <c r="AB26">
        <f>HYPERLINK("https://klasma.github.io/Logging_1462/klagomålsmail/A 41756-2025 FSC-klagomål mail.docx", "A 41756-2025")</f>
        <v/>
      </c>
      <c r="AC26">
        <f>HYPERLINK("https://klasma.github.io/Logging_1462/tillsyn/A 41756-2025 tillsynsbegäran.docx", "A 41756-2025")</f>
        <v/>
      </c>
      <c r="AD26">
        <f>HYPERLINK("https://klasma.github.io/Logging_1462/tillsynsmail/A 41756-2025 tillsynsbegäran mail.docx", "A 41756-2025")</f>
        <v/>
      </c>
    </row>
    <row r="27" ht="15" customHeight="1">
      <c r="A27" t="inlineStr">
        <is>
          <t>A 30273-2022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44759</v>
      </c>
      <c r="E27" s="1" t="n">
        <v>46226</v>
      </c>
      <c r="F27" t="inlineStr">
        <is>
          <t>VÄSTRA GÖTALANDS LÄN</t>
        </is>
      </c>
      <c r="G27" t="inlineStr">
        <is>
          <t>LILLA EDET</t>
        </is>
      </c>
      <c r="I27" t="n">
        <v>12.5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Ärtsångare</t>
        </is>
      </c>
      <c r="W27">
        <f>HYPERLINK("https://klasma.github.io/Logging_1462/artfynd/A 30273-2022 artfynd.xlsx", "A 30273-2022")</f>
        <v/>
      </c>
      <c r="X27">
        <f>HYPERLINK("https://klasma.github.io/Logging_1462/kartor/A 30273-2022 karta.png", "A 30273-2022")</f>
        <v/>
      </c>
      <c r="Y27">
        <f>HYPERLINK("https://klasma.github.io/Logging_1462/kartor_geotiff/A 30273-2022 georefererad karta.tif", "A 30273-2022")</f>
        <v/>
      </c>
      <c r="AA27">
        <f>HYPERLINK("https://klasma.github.io/Logging_1462/klagomål/A 30273-2022 FSC-klagomål.docx", "A 30273-2022")</f>
        <v/>
      </c>
      <c r="AB27">
        <f>HYPERLINK("https://klasma.github.io/Logging_1462/klagomålsmail/A 30273-2022 FSC-klagomål mail.docx", "A 30273-2022")</f>
        <v/>
      </c>
      <c r="AC27">
        <f>HYPERLINK("https://klasma.github.io/Logging_1462/tillsyn/A 30273-2022 tillsynsbegäran.docx", "A 30273-2022")</f>
        <v/>
      </c>
      <c r="AD27">
        <f>HYPERLINK("https://klasma.github.io/Logging_1462/tillsynsmail/A 30273-2022 tillsynsbegäran mail.docx", "A 30273-2022")</f>
        <v/>
      </c>
    </row>
    <row r="28" ht="15" customHeight="1">
      <c r="A28" t="inlineStr">
        <is>
          <t>A 45941-2025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45924</v>
      </c>
      <c r="E28" s="1" t="n">
        <v>46226</v>
      </c>
      <c r="F28" t="inlineStr">
        <is>
          <t>VÄSTRA GÖTALANDS LÄN</t>
        </is>
      </c>
      <c r="G28" t="inlineStr">
        <is>
          <t>LILLA EDET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Dofttaggsvamp</t>
        </is>
      </c>
      <c r="W28">
        <f>HYPERLINK("https://klasma.github.io/Logging_1462/artfynd/A 45941-2025 artfynd.xlsx", "A 45941-2025")</f>
        <v/>
      </c>
      <c r="X28">
        <f>HYPERLINK("https://klasma.github.io/Logging_1462/kartor/A 45941-2025 karta.png", "A 45941-2025")</f>
        <v/>
      </c>
      <c r="Y28">
        <f>HYPERLINK("https://klasma.github.io/Logging_1462/kartor_geotiff/A 45941-2025 georefererad karta.tif", "A 45941-2025")</f>
        <v/>
      </c>
      <c r="AA28">
        <f>HYPERLINK("https://klasma.github.io/Logging_1462/klagomål/A 45941-2025 FSC-klagomål.docx", "A 45941-2025")</f>
        <v/>
      </c>
      <c r="AB28">
        <f>HYPERLINK("https://klasma.github.io/Logging_1462/klagomålsmail/A 45941-2025 FSC-klagomål mail.docx", "A 45941-2025")</f>
        <v/>
      </c>
      <c r="AC28">
        <f>HYPERLINK("https://klasma.github.io/Logging_1462/tillsyn/A 45941-2025 tillsynsbegäran.docx", "A 45941-2025")</f>
        <v/>
      </c>
      <c r="AD28">
        <f>HYPERLINK("https://klasma.github.io/Logging_1462/tillsynsmail/A 45941-2025 tillsynsbegäran mail.docx", "A 45941-2025")</f>
        <v/>
      </c>
    </row>
    <row r="29" ht="15" customHeight="1">
      <c r="A29" t="inlineStr">
        <is>
          <t>A 11102-2024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45371</v>
      </c>
      <c r="E29" s="1" t="n">
        <v>46226</v>
      </c>
      <c r="F29" t="inlineStr">
        <is>
          <t>VÄSTRA GÖTALANDS LÄN</t>
        </is>
      </c>
      <c r="G29" t="inlineStr">
        <is>
          <t>LILLA EDET</t>
        </is>
      </c>
      <c r="I29" t="n">
        <v>2.8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HYPERLINK("https://klasma.github.io/Logging_1462/artfynd/A 11102-2024 artfynd.xlsx", "A 11102-2024")</f>
        <v/>
      </c>
      <c r="X29">
        <f>HYPERLINK("https://klasma.github.io/Logging_1462/kartor/A 11102-2024 karta.png", "A 11102-2024")</f>
        <v/>
      </c>
      <c r="Y29">
        <f>HYPERLINK("https://klasma.github.io/Logging_1462/kartor_geotiff/A 11102-2024 georefererad karta.tif", "A 11102-2024")</f>
        <v/>
      </c>
      <c r="AA29">
        <f>HYPERLINK("https://klasma.github.io/Logging_1462/klagomål/A 11102-2024 FSC-klagomål.docx", "A 11102-2024")</f>
        <v/>
      </c>
      <c r="AB29">
        <f>HYPERLINK("https://klasma.github.io/Logging_1462/klagomålsmail/A 11102-2024 FSC-klagomål mail.docx", "A 11102-2024")</f>
        <v/>
      </c>
      <c r="AC29">
        <f>HYPERLINK("https://klasma.github.io/Logging_1462/tillsyn/A 11102-2024 tillsynsbegäran.docx", "A 11102-2024")</f>
        <v/>
      </c>
      <c r="AD29">
        <f>HYPERLINK("https://klasma.github.io/Logging_1462/tillsynsmail/A 11102-2024 tillsynsbegäran mail.docx", "A 11102-2024")</f>
        <v/>
      </c>
    </row>
    <row r="30" ht="15" customHeight="1">
      <c r="A30" t="inlineStr">
        <is>
          <t>A 38522-2024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45546</v>
      </c>
      <c r="E30" s="1" t="n">
        <v>46226</v>
      </c>
      <c r="F30" t="inlineStr">
        <is>
          <t>VÄSTRA GÖTALANDS LÄN</t>
        </is>
      </c>
      <c r="G30" t="inlineStr">
        <is>
          <t>LILLA EDET</t>
        </is>
      </c>
      <c r="H30" t="inlineStr">
        <is>
          <t>Kyrkan</t>
        </is>
      </c>
      <c r="I30" t="n">
        <v>5.3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HYPERLINK("https://klasma.github.io/Logging_1462/artfynd/A 38522-2024 artfynd.xlsx", "A 38522-2024")</f>
        <v/>
      </c>
      <c r="X30">
        <f>HYPERLINK("https://klasma.github.io/Logging_1462/kartor/A 38522-2024 karta.png", "A 38522-2024")</f>
        <v/>
      </c>
      <c r="Y30">
        <f>HYPERLINK("https://klasma.github.io/Logging_1462/kartor_geotiff/A 38522-2024 georefererad karta.tif", "A 38522-2024")</f>
        <v/>
      </c>
      <c r="AA30">
        <f>HYPERLINK("https://klasma.github.io/Logging_1462/klagomål/A 38522-2024 FSC-klagomål.docx", "A 38522-2024")</f>
        <v/>
      </c>
      <c r="AB30">
        <f>HYPERLINK("https://klasma.github.io/Logging_1462/klagomålsmail/A 38522-2024 FSC-klagomål mail.docx", "A 38522-2024")</f>
        <v/>
      </c>
      <c r="AC30">
        <f>HYPERLINK("https://klasma.github.io/Logging_1462/tillsyn/A 38522-2024 tillsynsbegäran.docx", "A 38522-2024")</f>
        <v/>
      </c>
      <c r="AD30">
        <f>HYPERLINK("https://klasma.github.io/Logging_1462/tillsynsmail/A 38522-2024 tillsynsbegäran mail.docx", "A 38522-2024")</f>
        <v/>
      </c>
      <c r="AE30">
        <f>HYPERLINK("https://klasma.github.io/Logging_1462/fåglar/A 38522-2024 prioriterade fågelarter.docx", "A 38522-2024")</f>
        <v/>
      </c>
    </row>
    <row r="31" ht="15" customHeight="1">
      <c r="A31" t="inlineStr">
        <is>
          <t>A 7062-2024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45343</v>
      </c>
      <c r="E31" s="1" t="n">
        <v>46226</v>
      </c>
      <c r="F31" t="inlineStr">
        <is>
          <t>VÄSTRA GÖTALANDS LÄN</t>
        </is>
      </c>
      <c r="G31" t="inlineStr">
        <is>
          <t>LILLA EDET</t>
        </is>
      </c>
      <c r="I31" t="n">
        <v>9.1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HYPERLINK("https://klasma.github.io/Logging_1462/artfynd/A 7062-2024 artfynd.xlsx", "A 7062-2024")</f>
        <v/>
      </c>
      <c r="X31">
        <f>HYPERLINK("https://klasma.github.io/Logging_1462/kartor/A 7062-2024 karta.png", "A 7062-2024")</f>
        <v/>
      </c>
      <c r="Y31">
        <f>HYPERLINK("https://klasma.github.io/Logging_1462/kartor_geotiff/A 7062-2024 georefererad karta.tif", "A 7062-2024")</f>
        <v/>
      </c>
      <c r="AA31">
        <f>HYPERLINK("https://klasma.github.io/Logging_1462/klagomål/A 7062-2024 FSC-klagomål.docx", "A 7062-2024")</f>
        <v/>
      </c>
      <c r="AB31">
        <f>HYPERLINK("https://klasma.github.io/Logging_1462/klagomålsmail/A 7062-2024 FSC-klagomål mail.docx", "A 7062-2024")</f>
        <v/>
      </c>
      <c r="AC31">
        <f>HYPERLINK("https://klasma.github.io/Logging_1462/tillsyn/A 7062-2024 tillsynsbegäran.docx", "A 7062-2024")</f>
        <v/>
      </c>
      <c r="AD31">
        <f>HYPERLINK("https://klasma.github.io/Logging_1462/tillsynsmail/A 7062-2024 tillsynsbegäran mail.docx", "A 7062-2024")</f>
        <v/>
      </c>
    </row>
    <row r="32" ht="15" customHeight="1">
      <c r="A32" t="inlineStr">
        <is>
          <t>A 38384-2022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46226</v>
      </c>
      <c r="F32" t="inlineStr">
        <is>
          <t>VÄSTRA GÖTALANDS LÄN</t>
        </is>
      </c>
      <c r="G32" t="inlineStr">
        <is>
          <t>LILLA EDET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2991-2022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44581</v>
      </c>
      <c r="E33" s="1" t="n">
        <v>46226</v>
      </c>
      <c r="F33" t="inlineStr">
        <is>
          <t>VÄSTRA GÖTALANDS LÄN</t>
        </is>
      </c>
      <c r="G33" t="inlineStr">
        <is>
          <t>LILLA EDET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46226</v>
      </c>
      <c r="F34" t="inlineStr">
        <is>
          <t>VÄSTRA GÖTALANDS LÄN</t>
        </is>
      </c>
      <c r="G34" t="inlineStr">
        <is>
          <t>LILLA EDET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46226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18346-2022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46226</v>
      </c>
      <c r="F36" t="inlineStr">
        <is>
          <t>VÄSTRA GÖTALANDS LÄN</t>
        </is>
      </c>
      <c r="G36" t="inlineStr">
        <is>
          <t>LILLA EDET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30285-2022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44760</v>
      </c>
      <c r="E37" s="1" t="n">
        <v>46226</v>
      </c>
      <c r="F37" t="inlineStr">
        <is>
          <t>VÄSTRA GÖTALANDS LÄN</t>
        </is>
      </c>
      <c r="G37" t="inlineStr">
        <is>
          <t>LILLA EDET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44720</v>
      </c>
      <c r="E38" s="1" t="n">
        <v>46226</v>
      </c>
      <c r="F38" t="inlineStr">
        <is>
          <t>VÄSTRA GÖTALANDS LÄN</t>
        </is>
      </c>
      <c r="G38" t="inlineStr">
        <is>
          <t>LILLA EDET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10729-2022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44627</v>
      </c>
      <c r="E39" s="1" t="n">
        <v>46226</v>
      </c>
      <c r="F39" t="inlineStr">
        <is>
          <t>VÄSTRA GÖTALANDS LÄN</t>
        </is>
      </c>
      <c r="G39" t="inlineStr">
        <is>
          <t>LILLA EDET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41630-2021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44425</v>
      </c>
      <c r="E40" s="1" t="n">
        <v>46226</v>
      </c>
      <c r="F40" t="inlineStr">
        <is>
          <t>VÄSTRA GÖTALANDS LÄN</t>
        </is>
      </c>
      <c r="G40" t="inlineStr">
        <is>
          <t>LILLA EDET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55768-2021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44476</v>
      </c>
      <c r="E41" s="1" t="n">
        <v>46226</v>
      </c>
      <c r="F41" t="inlineStr">
        <is>
          <t>VÄSTRA GÖTALANDS LÄN</t>
        </is>
      </c>
      <c r="G41" t="inlineStr">
        <is>
          <t>LILLA EDET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52953-2021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44467</v>
      </c>
      <c r="E42" s="1" t="n">
        <v>46226</v>
      </c>
      <c r="F42" t="inlineStr">
        <is>
          <t>VÄSTRA GÖTALANDS LÄN</t>
        </is>
      </c>
      <c r="G42" t="inlineStr">
        <is>
          <t>LILLA EDET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36359-2022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44803</v>
      </c>
      <c r="E43" s="1" t="n">
        <v>46226</v>
      </c>
      <c r="F43" t="inlineStr">
        <is>
          <t>VÄSTRA GÖTALANDS LÄN</t>
        </is>
      </c>
      <c r="G43" t="inlineStr">
        <is>
          <t>LILLA EDET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38386-2022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46226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41420-2022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44826</v>
      </c>
      <c r="E45" s="1" t="n">
        <v>46226</v>
      </c>
      <c r="F45" t="inlineStr">
        <is>
          <t>VÄSTRA GÖTALANDS LÄN</t>
        </is>
      </c>
      <c r="G45" t="inlineStr">
        <is>
          <t>LILLA EDET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51569-2021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44462</v>
      </c>
      <c r="E46" s="1" t="n">
        <v>46226</v>
      </c>
      <c r="F46" t="inlineStr">
        <is>
          <t>VÄSTRA GÖTALANDS LÄN</t>
        </is>
      </c>
      <c r="G46" t="inlineStr">
        <is>
          <t>LILLA EDET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38059-2022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44811</v>
      </c>
      <c r="E47" s="1" t="n">
        <v>46226</v>
      </c>
      <c r="F47" t="inlineStr">
        <is>
          <t>VÄSTRA GÖTALANDS LÄN</t>
        </is>
      </c>
      <c r="G47" t="inlineStr">
        <is>
          <t>LILLA EDET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30284-2022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44760</v>
      </c>
      <c r="E48" s="1" t="n">
        <v>46226</v>
      </c>
      <c r="F48" t="inlineStr">
        <is>
          <t>VÄSTRA GÖTALANDS LÄN</t>
        </is>
      </c>
      <c r="G48" t="inlineStr">
        <is>
          <t>LILLA EDET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30287-2022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44760</v>
      </c>
      <c r="E49" s="1" t="n">
        <v>46226</v>
      </c>
      <c r="F49" t="inlineStr">
        <is>
          <t>VÄSTRA GÖTALANDS LÄN</t>
        </is>
      </c>
      <c r="G49" t="inlineStr">
        <is>
          <t>LILLA EDET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44565</v>
      </c>
      <c r="E50" s="1" t="n">
        <v>46226</v>
      </c>
      <c r="F50" t="inlineStr">
        <is>
          <t>VÄSTRA GÖTALANDS LÄN</t>
        </is>
      </c>
      <c r="G50" t="inlineStr">
        <is>
          <t>LILLA EDET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10726-2022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44627</v>
      </c>
      <c r="E51" s="1" t="n">
        <v>46226</v>
      </c>
      <c r="F51" t="inlineStr">
        <is>
          <t>VÄSTRA GÖTALANDS LÄN</t>
        </is>
      </c>
      <c r="G51" t="inlineStr">
        <is>
          <t>LILLA EDET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12234-2024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45378</v>
      </c>
      <c r="E52" s="1" t="n">
        <v>46226</v>
      </c>
      <c r="F52" t="inlineStr">
        <is>
          <t>VÄSTRA GÖTALANDS LÄN</t>
        </is>
      </c>
      <c r="G52" t="inlineStr">
        <is>
          <t>LILLA EDET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4881-2024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45329</v>
      </c>
      <c r="E53" s="1" t="n">
        <v>46226</v>
      </c>
      <c r="F53" t="inlineStr">
        <is>
          <t>VÄSTRA GÖTALANDS LÄN</t>
        </is>
      </c>
      <c r="G53" t="inlineStr">
        <is>
          <t>LILLA EDET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58750-2021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44489</v>
      </c>
      <c r="E54" s="1" t="n">
        <v>46226</v>
      </c>
      <c r="F54" t="inlineStr">
        <is>
          <t>VÄSTRA GÖTALANDS LÄN</t>
        </is>
      </c>
      <c r="G54" t="inlineStr">
        <is>
          <t>LILLA EDET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26443-2023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45092</v>
      </c>
      <c r="E55" s="1" t="n">
        <v>46226</v>
      </c>
      <c r="F55" t="inlineStr">
        <is>
          <t>VÄSTRA GÖTALANDS LÄN</t>
        </is>
      </c>
      <c r="G55" t="inlineStr">
        <is>
          <t>LILLA EDET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43770-2023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45187</v>
      </c>
      <c r="E56" s="1" t="n">
        <v>46226</v>
      </c>
      <c r="F56" t="inlineStr">
        <is>
          <t>VÄSTRA GÖTALANDS LÄN</t>
        </is>
      </c>
      <c r="G56" t="inlineStr">
        <is>
          <t>LILLA EDET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54681-2021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44473</v>
      </c>
      <c r="E57" s="1" t="n">
        <v>46226</v>
      </c>
      <c r="F57" t="inlineStr">
        <is>
          <t>VÄSTRA GÖTALANDS LÄN</t>
        </is>
      </c>
      <c r="G57" t="inlineStr">
        <is>
          <t>LILLA EDET</t>
        </is>
      </c>
      <c r="I57" t="n">
        <v>4.1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45296</v>
      </c>
      <c r="E58" s="1" t="n">
        <v>46226</v>
      </c>
      <c r="F58" t="inlineStr">
        <is>
          <t>VÄSTRA GÖTALANDS LÄN</t>
        </is>
      </c>
      <c r="G58" t="inlineStr">
        <is>
          <t>LILLA EDET</t>
        </is>
      </c>
      <c r="I58" t="n">
        <v>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47511-2024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45587</v>
      </c>
      <c r="E59" s="1" t="n">
        <v>46226</v>
      </c>
      <c r="F59" t="inlineStr">
        <is>
          <t>VÄSTRA GÖTALANDS LÄN</t>
        </is>
      </c>
      <c r="G59" t="inlineStr">
        <is>
          <t>LILLA EDET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61435-2024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45646</v>
      </c>
      <c r="E60" s="1" t="n">
        <v>46226</v>
      </c>
      <c r="F60" t="inlineStr">
        <is>
          <t>VÄSTRA GÖTALANDS LÄN</t>
        </is>
      </c>
      <c r="G60" t="inlineStr">
        <is>
          <t>LILLA EDET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27222-2025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45812</v>
      </c>
      <c r="E61" s="1" t="n">
        <v>46226</v>
      </c>
      <c r="F61" t="inlineStr">
        <is>
          <t>VÄSTRA GÖTALANDS LÄN</t>
        </is>
      </c>
      <c r="G61" t="inlineStr">
        <is>
          <t>LILLA EDET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5612-2025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45693</v>
      </c>
      <c r="E62" s="1" t="n">
        <v>46226</v>
      </c>
      <c r="F62" t="inlineStr">
        <is>
          <t>VÄSTRA GÖTALANDS LÄN</t>
        </is>
      </c>
      <c r="G62" t="inlineStr">
        <is>
          <t>LILLA EDET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37063-2024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45539</v>
      </c>
      <c r="E63" s="1" t="n">
        <v>46226</v>
      </c>
      <c r="F63" t="inlineStr">
        <is>
          <t>VÄSTRA GÖTALANDS LÄN</t>
        </is>
      </c>
      <c r="G63" t="inlineStr">
        <is>
          <t>LILLA EDET</t>
        </is>
      </c>
      <c r="I63" t="n">
        <v>8.800000000000001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45664</v>
      </c>
      <c r="E64" s="1" t="n">
        <v>46226</v>
      </c>
      <c r="F64" t="inlineStr">
        <is>
          <t>VÄSTRA GÖTALANDS LÄN</t>
        </is>
      </c>
      <c r="G64" t="inlineStr">
        <is>
          <t>LILLA EDET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28515-2025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45819</v>
      </c>
      <c r="E65" s="1" t="n">
        <v>46226</v>
      </c>
      <c r="F65" t="inlineStr">
        <is>
          <t>VÄSTRA GÖTALANDS LÄN</t>
        </is>
      </c>
      <c r="G65" t="inlineStr">
        <is>
          <t>LILLA EDET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12628-2023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45000</v>
      </c>
      <c r="E66" s="1" t="n">
        <v>46226</v>
      </c>
      <c r="F66" t="inlineStr">
        <is>
          <t>VÄSTRA GÖTALANDS LÄN</t>
        </is>
      </c>
      <c r="G66" t="inlineStr">
        <is>
          <t>LILLA EDET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56584-2025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45974</v>
      </c>
      <c r="E67" s="1" t="n">
        <v>46226</v>
      </c>
      <c r="F67" t="inlineStr">
        <is>
          <t>VÄSTRA GÖTALANDS LÄN</t>
        </is>
      </c>
      <c r="G67" t="inlineStr">
        <is>
          <t>LILLA EDET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2867-2025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45677</v>
      </c>
      <c r="E68" s="1" t="n">
        <v>46226</v>
      </c>
      <c r="F68" t="inlineStr">
        <is>
          <t>VÄSTRA GÖTALANDS LÄN</t>
        </is>
      </c>
      <c r="G68" t="inlineStr">
        <is>
          <t>LILLA EDET</t>
        </is>
      </c>
      <c r="I68" t="n">
        <v>10.7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65619-2021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46226</v>
      </c>
      <c r="F69" t="inlineStr">
        <is>
          <t>VÄSTRA GÖTALANDS LÄN</t>
        </is>
      </c>
      <c r="G69" t="inlineStr">
        <is>
          <t>LILLA EDET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41759-2025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45902</v>
      </c>
      <c r="E70" s="1" t="n">
        <v>46226</v>
      </c>
      <c r="F70" t="inlineStr">
        <is>
          <t>VÄSTRA GÖTALANDS LÄN</t>
        </is>
      </c>
      <c r="G70" t="inlineStr">
        <is>
          <t>LILLA EDET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41758-2025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45902</v>
      </c>
      <c r="E71" s="1" t="n">
        <v>46226</v>
      </c>
      <c r="F71" t="inlineStr">
        <is>
          <t>VÄSTRA GÖTALANDS LÄN</t>
        </is>
      </c>
      <c r="G71" t="inlineStr">
        <is>
          <t>LILLA EDET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41760-2025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45902</v>
      </c>
      <c r="E72" s="1" t="n">
        <v>46226</v>
      </c>
      <c r="F72" t="inlineStr">
        <is>
          <t>VÄSTRA GÖTALANDS LÄN</t>
        </is>
      </c>
      <c r="G72" t="inlineStr">
        <is>
          <t>LILLA EDET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41761-2025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45902</v>
      </c>
      <c r="E73" s="1" t="n">
        <v>46226</v>
      </c>
      <c r="F73" t="inlineStr">
        <is>
          <t>VÄSTRA GÖTALANDS LÄN</t>
        </is>
      </c>
      <c r="G73" t="inlineStr">
        <is>
          <t>LILLA EDET</t>
        </is>
      </c>
      <c r="I73" t="n">
        <v>6.6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41411-2022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44826</v>
      </c>
      <c r="E74" s="1" t="n">
        <v>46226</v>
      </c>
      <c r="F74" t="inlineStr">
        <is>
          <t>VÄSTRA GÖTALANDS LÄN</t>
        </is>
      </c>
      <c r="G74" t="inlineStr">
        <is>
          <t>LILLA EDET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35422-2025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45855</v>
      </c>
      <c r="E75" s="1" t="n">
        <v>46226</v>
      </c>
      <c r="F75" t="inlineStr">
        <is>
          <t>VÄSTRA GÖTALANDS LÄN</t>
        </is>
      </c>
      <c r="G75" t="inlineStr">
        <is>
          <t>LILLA EDET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12647-2023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45000</v>
      </c>
      <c r="E76" s="1" t="n">
        <v>46226</v>
      </c>
      <c r="F76" t="inlineStr">
        <is>
          <t>VÄSTRA GÖTALANDS LÄN</t>
        </is>
      </c>
      <c r="G76" t="inlineStr">
        <is>
          <t>LILLA EDET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42857-2025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45908</v>
      </c>
      <c r="E77" s="1" t="n">
        <v>46226</v>
      </c>
      <c r="F77" t="inlineStr">
        <is>
          <t>VÄSTRA GÖTALANDS LÄN</t>
        </is>
      </c>
      <c r="G77" t="inlineStr">
        <is>
          <t>LILLA EDET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15351-2024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45400</v>
      </c>
      <c r="E78" s="1" t="n">
        <v>46226</v>
      </c>
      <c r="F78" t="inlineStr">
        <is>
          <t>VÄSTRA GÖTALANDS LÄN</t>
        </is>
      </c>
      <c r="G78" t="inlineStr">
        <is>
          <t>LILLA EDET</t>
        </is>
      </c>
      <c r="H78" t="inlineStr">
        <is>
          <t>Kyrkan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44104-2025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45915</v>
      </c>
      <c r="E79" s="1" t="n">
        <v>46226</v>
      </c>
      <c r="F79" t="inlineStr">
        <is>
          <t>VÄSTRA GÖTALANDS LÄN</t>
        </is>
      </c>
      <c r="G79" t="inlineStr">
        <is>
          <t>LILLA EDET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8117-2023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44974</v>
      </c>
      <c r="E80" s="1" t="n">
        <v>46226</v>
      </c>
      <c r="F80" t="inlineStr">
        <is>
          <t>VÄSTRA GÖTALANDS LÄN</t>
        </is>
      </c>
      <c r="G80" t="inlineStr">
        <is>
          <t>LILLA EDET</t>
        </is>
      </c>
      <c r="I80" t="n">
        <v>11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43684-2025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45912</v>
      </c>
      <c r="E81" s="1" t="n">
        <v>46226</v>
      </c>
      <c r="F81" t="inlineStr">
        <is>
          <t>VÄSTRA GÖTALANDS LÄN</t>
        </is>
      </c>
      <c r="G81" t="inlineStr">
        <is>
          <t>LILLA EDET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44916-2025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45918</v>
      </c>
      <c r="E82" s="1" t="n">
        <v>46226</v>
      </c>
      <c r="F82" t="inlineStr">
        <is>
          <t>VÄSTRA GÖTALANDS LÄN</t>
        </is>
      </c>
      <c r="G82" t="inlineStr">
        <is>
          <t>LILLA EDET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44918-2025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45918</v>
      </c>
      <c r="E83" s="1" t="n">
        <v>46226</v>
      </c>
      <c r="F83" t="inlineStr">
        <is>
          <t>VÄSTRA GÖTALANDS LÄN</t>
        </is>
      </c>
      <c r="G83" t="inlineStr">
        <is>
          <t>LILLA EDET</t>
        </is>
      </c>
      <c r="I83" t="n">
        <v>5.7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14427-2026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46100</v>
      </c>
      <c r="E84" s="1" t="n">
        <v>46226</v>
      </c>
      <c r="F84" t="inlineStr">
        <is>
          <t>VÄSTRA GÖTALANDS LÄN</t>
        </is>
      </c>
      <c r="G84" t="inlineStr">
        <is>
          <t>LILLA EDET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44914-2025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45918</v>
      </c>
      <c r="E85" s="1" t="n">
        <v>46226</v>
      </c>
      <c r="F85" t="inlineStr">
        <is>
          <t>VÄSTRA GÖTALANDS LÄN</t>
        </is>
      </c>
      <c r="G85" t="inlineStr">
        <is>
          <t>LILLA EDET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44915-2025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45918</v>
      </c>
      <c r="E86" s="1" t="n">
        <v>46226</v>
      </c>
      <c r="F86" t="inlineStr">
        <is>
          <t>VÄSTRA GÖTALANDS LÄN</t>
        </is>
      </c>
      <c r="G86" t="inlineStr">
        <is>
          <t>LILLA EDET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57381-2022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44896</v>
      </c>
      <c r="E87" s="1" t="n">
        <v>46226</v>
      </c>
      <c r="F87" t="inlineStr">
        <is>
          <t>VÄSTRA GÖTALANDS LÄN</t>
        </is>
      </c>
      <c r="G87" t="inlineStr">
        <is>
          <t>LILLA EDET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48730-2025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45936</v>
      </c>
      <c r="E88" s="1" t="n">
        <v>46226</v>
      </c>
      <c r="F88" t="inlineStr">
        <is>
          <t>VÄSTRA GÖTALANDS LÄN</t>
        </is>
      </c>
      <c r="G88" t="inlineStr">
        <is>
          <t>LILLA EDET</t>
        </is>
      </c>
      <c r="I88" t="n">
        <v>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48727-2025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45936</v>
      </c>
      <c r="E89" s="1" t="n">
        <v>46226</v>
      </c>
      <c r="F89" t="inlineStr">
        <is>
          <t>VÄSTRA GÖTALANDS LÄN</t>
        </is>
      </c>
      <c r="G89" t="inlineStr">
        <is>
          <t>LILLA EDET</t>
        </is>
      </c>
      <c r="I89" t="n">
        <v>6.1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17377-2026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46119</v>
      </c>
      <c r="E90" s="1" t="n">
        <v>46226</v>
      </c>
      <c r="F90" t="inlineStr">
        <is>
          <t>VÄSTRA GÖTALANDS LÄN</t>
        </is>
      </c>
      <c r="G90" t="inlineStr">
        <is>
          <t>LILLA EDET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49188-2025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45938</v>
      </c>
      <c r="E91" s="1" t="n">
        <v>46226</v>
      </c>
      <c r="F91" t="inlineStr">
        <is>
          <t>VÄSTRA GÖTALANDS LÄN</t>
        </is>
      </c>
      <c r="G91" t="inlineStr">
        <is>
          <t>LILLA EDET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13801-2025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45737</v>
      </c>
      <c r="E92" s="1" t="n">
        <v>46226</v>
      </c>
      <c r="F92" t="inlineStr">
        <is>
          <t>VÄSTRA GÖTALANDS LÄN</t>
        </is>
      </c>
      <c r="G92" t="inlineStr">
        <is>
          <t>LILLA EDET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18841-2026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46129</v>
      </c>
      <c r="E93" s="1" t="n">
        <v>46226</v>
      </c>
      <c r="F93" t="inlineStr">
        <is>
          <t>VÄSTRA GÖTALANDS LÄN</t>
        </is>
      </c>
      <c r="G93" t="inlineStr">
        <is>
          <t>LILLA EDET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50349-2024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45600</v>
      </c>
      <c r="E94" s="1" t="n">
        <v>46226</v>
      </c>
      <c r="F94" t="inlineStr">
        <is>
          <t>VÄSTRA GÖTALANDS LÄN</t>
        </is>
      </c>
      <c r="G94" t="inlineStr">
        <is>
          <t>LILLA EDET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19079-2025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45766</v>
      </c>
      <c r="E95" s="1" t="n">
        <v>46226</v>
      </c>
      <c r="F95" t="inlineStr">
        <is>
          <t>VÄSTRA GÖTALANDS LÄN</t>
        </is>
      </c>
      <c r="G95" t="inlineStr">
        <is>
          <t>LILLA EDET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61952-2024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45653</v>
      </c>
      <c r="E96" s="1" t="n">
        <v>46226</v>
      </c>
      <c r="F96" t="inlineStr">
        <is>
          <t>VÄSTRA GÖTALANDS LÄN</t>
        </is>
      </c>
      <c r="G96" t="inlineStr">
        <is>
          <t>LILLA EDET</t>
        </is>
      </c>
      <c r="I96" t="n">
        <v>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7912-2024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45350</v>
      </c>
      <c r="E97" s="1" t="n">
        <v>46226</v>
      </c>
      <c r="F97" t="inlineStr">
        <is>
          <t>VÄSTRA GÖTALANDS LÄN</t>
        </is>
      </c>
      <c r="G97" t="inlineStr">
        <is>
          <t>LILLA EDET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55324-2025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45971</v>
      </c>
      <c r="E98" s="1" t="n">
        <v>46226</v>
      </c>
      <c r="F98" t="inlineStr">
        <is>
          <t>VÄSTRA GÖTALANDS LÄN</t>
        </is>
      </c>
      <c r="G98" t="inlineStr">
        <is>
          <t>LILLA EDET</t>
        </is>
      </c>
      <c r="H98" t="inlineStr">
        <is>
          <t>Sveaskog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28022-2023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45098</v>
      </c>
      <c r="E99" s="1" t="n">
        <v>46226</v>
      </c>
      <c r="F99" t="inlineStr">
        <is>
          <t>VÄSTRA GÖTALANDS LÄN</t>
        </is>
      </c>
      <c r="G99" t="inlineStr">
        <is>
          <t>LILLA EDET</t>
        </is>
      </c>
      <c r="I99" t="n">
        <v>5.7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35420-2025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45855</v>
      </c>
      <c r="E100" s="1" t="n">
        <v>46226</v>
      </c>
      <c r="F100" t="inlineStr">
        <is>
          <t>VÄSTRA GÖTALANDS LÄN</t>
        </is>
      </c>
      <c r="G100" t="inlineStr">
        <is>
          <t>LILLA EDET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55972-2022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44889</v>
      </c>
      <c r="E101" s="1" t="n">
        <v>46226</v>
      </c>
      <c r="F101" t="inlineStr">
        <is>
          <t>VÄSTRA GÖTALANDS LÄN</t>
        </is>
      </c>
      <c r="G101" t="inlineStr">
        <is>
          <t>LILLA EDET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13581-2023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45006</v>
      </c>
      <c r="E102" s="1" t="n">
        <v>46226</v>
      </c>
      <c r="F102" t="inlineStr">
        <is>
          <t>VÄSTRA GÖTALANDS LÄN</t>
        </is>
      </c>
      <c r="G102" t="inlineStr">
        <is>
          <t>LILLA EDET</t>
        </is>
      </c>
      <c r="H102" t="inlineStr">
        <is>
          <t>Kommuner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8071-2024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45351</v>
      </c>
      <c r="E103" s="1" t="n">
        <v>46226</v>
      </c>
      <c r="F103" t="inlineStr">
        <is>
          <t>VÄSTRA GÖTALANDS LÄN</t>
        </is>
      </c>
      <c r="G103" t="inlineStr">
        <is>
          <t>LILLA EDET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35717-2025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45860</v>
      </c>
      <c r="E104" s="1" t="n">
        <v>46226</v>
      </c>
      <c r="F104" t="inlineStr">
        <is>
          <t>VÄSTRA GÖTALANDS LÄN</t>
        </is>
      </c>
      <c r="G104" t="inlineStr">
        <is>
          <t>LILLA EDET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61475-2025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46001</v>
      </c>
      <c r="E105" s="1" t="n">
        <v>46226</v>
      </c>
      <c r="F105" t="inlineStr">
        <is>
          <t>VÄSTRA GÖTALANDS LÄN</t>
        </is>
      </c>
      <c r="G105" t="inlineStr">
        <is>
          <t>LILLA EDET</t>
        </is>
      </c>
      <c r="I105" t="n">
        <v>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13975-2023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45008</v>
      </c>
      <c r="E106" s="1" t="n">
        <v>46226</v>
      </c>
      <c r="F106" t="inlineStr">
        <is>
          <t>VÄSTRA GÖTALANDS LÄN</t>
        </is>
      </c>
      <c r="G106" t="inlineStr">
        <is>
          <t>LILLA EDET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16473-2022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44671</v>
      </c>
      <c r="E107" s="1" t="n">
        <v>46226</v>
      </c>
      <c r="F107" t="inlineStr">
        <is>
          <t>VÄSTRA GÖTALANDS LÄN</t>
        </is>
      </c>
      <c r="G107" t="inlineStr">
        <is>
          <t>LILLA EDET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6323-2023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44960</v>
      </c>
      <c r="E108" s="1" t="n">
        <v>46226</v>
      </c>
      <c r="F108" t="inlineStr">
        <is>
          <t>VÄSTRA GÖTALANDS LÄN</t>
        </is>
      </c>
      <c r="G108" t="inlineStr">
        <is>
          <t>LILLA EDET</t>
        </is>
      </c>
      <c r="H108" t="inlineStr">
        <is>
          <t>Kyrkan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40092-2024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45554</v>
      </c>
      <c r="E109" s="1" t="n">
        <v>46226</v>
      </c>
      <c r="F109" t="inlineStr">
        <is>
          <t>VÄSTRA GÖTALANDS LÄN</t>
        </is>
      </c>
      <c r="G109" t="inlineStr">
        <is>
          <t>LILLA EDET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48904-2024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45594</v>
      </c>
      <c r="E110" s="1" t="n">
        <v>46226</v>
      </c>
      <c r="F110" t="inlineStr">
        <is>
          <t>VÄSTRA GÖTALANDS LÄN</t>
        </is>
      </c>
      <c r="G110" t="inlineStr">
        <is>
          <t>LILLA EDET</t>
        </is>
      </c>
      <c r="I110" t="n">
        <v>3.9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57754-2023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45246</v>
      </c>
      <c r="E111" s="1" t="n">
        <v>46226</v>
      </c>
      <c r="F111" t="inlineStr">
        <is>
          <t>VÄSTRA GÖTALANDS LÄN</t>
        </is>
      </c>
      <c r="G111" t="inlineStr">
        <is>
          <t>LILLA EDET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26886-2023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45093</v>
      </c>
      <c r="E112" s="1" t="n">
        <v>46226</v>
      </c>
      <c r="F112" t="inlineStr">
        <is>
          <t>VÄSTRA GÖTALANDS LÄN</t>
        </is>
      </c>
      <c r="G112" t="inlineStr">
        <is>
          <t>LILLA EDET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45295</v>
      </c>
      <c r="E113" s="1" t="n">
        <v>46226</v>
      </c>
      <c r="F113" t="inlineStr">
        <is>
          <t>VÄSTRA GÖTALANDS LÄN</t>
        </is>
      </c>
      <c r="G113" t="inlineStr">
        <is>
          <t>LILLA EDET</t>
        </is>
      </c>
      <c r="H113" t="inlineStr">
        <is>
          <t>Kyrkan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61695-2025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46002</v>
      </c>
      <c r="E114" s="1" t="n">
        <v>46226</v>
      </c>
      <c r="F114" t="inlineStr">
        <is>
          <t>VÄSTRA GÖTALANDS LÄN</t>
        </is>
      </c>
      <c r="G114" t="inlineStr">
        <is>
          <t>LILLA EDET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12784-2025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45733</v>
      </c>
      <c r="E115" s="1" t="n">
        <v>46226</v>
      </c>
      <c r="F115" t="inlineStr">
        <is>
          <t>VÄSTRA GÖTALANDS LÄN</t>
        </is>
      </c>
      <c r="G115" t="inlineStr">
        <is>
          <t>LILLA EDET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29066-2024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45481</v>
      </c>
      <c r="E116" s="1" t="n">
        <v>46226</v>
      </c>
      <c r="F116" t="inlineStr">
        <is>
          <t>VÄSTRA GÖTALANDS LÄN</t>
        </is>
      </c>
      <c r="G116" t="inlineStr">
        <is>
          <t>LILLA EDET</t>
        </is>
      </c>
      <c r="I116" t="n">
        <v>7.9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29068-2024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45481</v>
      </c>
      <c r="E117" s="1" t="n">
        <v>46226</v>
      </c>
      <c r="F117" t="inlineStr">
        <is>
          <t>VÄSTRA GÖTALANDS LÄN</t>
        </is>
      </c>
      <c r="G117" t="inlineStr">
        <is>
          <t>LILLA EDET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27643-2026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46190</v>
      </c>
      <c r="E118" s="1" t="n">
        <v>46226</v>
      </c>
      <c r="F118" t="inlineStr">
        <is>
          <t>VÄSTRA GÖTALANDS LÄN</t>
        </is>
      </c>
      <c r="G118" t="inlineStr">
        <is>
          <t>LILLA EDET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4225-2024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45324</v>
      </c>
      <c r="E119" s="1" t="n">
        <v>46226</v>
      </c>
      <c r="F119" t="inlineStr">
        <is>
          <t>VÄSTRA GÖTALANDS LÄN</t>
        </is>
      </c>
      <c r="G119" t="inlineStr">
        <is>
          <t>LILLA EDET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4227-2024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45324</v>
      </c>
      <c r="E120" s="1" t="n">
        <v>46226</v>
      </c>
      <c r="F120" t="inlineStr">
        <is>
          <t>VÄSTRA GÖTALANDS LÄN</t>
        </is>
      </c>
      <c r="G120" t="inlineStr">
        <is>
          <t>LILLA EDET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35423-2025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45855</v>
      </c>
      <c r="E121" s="1" t="n">
        <v>46226</v>
      </c>
      <c r="F121" t="inlineStr">
        <is>
          <t>VÄSTRA GÖTALANDS LÄN</t>
        </is>
      </c>
      <c r="G121" t="inlineStr">
        <is>
          <t>LILLA EDET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38093-2022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44811</v>
      </c>
      <c r="E122" s="1" t="n">
        <v>46226</v>
      </c>
      <c r="F122" t="inlineStr">
        <is>
          <t>VÄSTRA GÖTALANDS LÄN</t>
        </is>
      </c>
      <c r="G122" t="inlineStr">
        <is>
          <t>LILLA EDET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2438-2026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46036</v>
      </c>
      <c r="E123" s="1" t="n">
        <v>46226</v>
      </c>
      <c r="F123" t="inlineStr">
        <is>
          <t>VÄSTRA GÖTALANDS LÄN</t>
        </is>
      </c>
      <c r="G123" t="inlineStr">
        <is>
          <t>LILLA EDET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2226-2026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46036</v>
      </c>
      <c r="E124" s="1" t="n">
        <v>46226</v>
      </c>
      <c r="F124" t="inlineStr">
        <is>
          <t>VÄSTRA GÖTALANDS LÄN</t>
        </is>
      </c>
      <c r="G124" t="inlineStr">
        <is>
          <t>LILLA EDET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5420-2025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45692</v>
      </c>
      <c r="E125" s="1" t="n">
        <v>46226</v>
      </c>
      <c r="F125" t="inlineStr">
        <is>
          <t>VÄSTRA GÖTALANDS LÄN</t>
        </is>
      </c>
      <c r="G125" t="inlineStr">
        <is>
          <t>LILLA EDET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51488-2022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44869</v>
      </c>
      <c r="E126" s="1" t="n">
        <v>46226</v>
      </c>
      <c r="F126" t="inlineStr">
        <is>
          <t>VÄSTRA GÖTALANDS LÄN</t>
        </is>
      </c>
      <c r="G126" t="inlineStr">
        <is>
          <t>LILLA EDET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6489-2025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45699</v>
      </c>
      <c r="E127" s="1" t="n">
        <v>46226</v>
      </c>
      <c r="F127" t="inlineStr">
        <is>
          <t>VÄSTRA GÖTALANDS LÄN</t>
        </is>
      </c>
      <c r="G127" t="inlineStr">
        <is>
          <t>LILLA EDET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22257-2026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46154</v>
      </c>
      <c r="E128" s="1" t="n">
        <v>46226</v>
      </c>
      <c r="F128" t="inlineStr">
        <is>
          <t>VÄSTRA GÖTALANDS LÄN</t>
        </is>
      </c>
      <c r="G128" t="inlineStr">
        <is>
          <t>LILLA EDET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9046-2022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44615</v>
      </c>
      <c r="E129" s="1" t="n">
        <v>46226</v>
      </c>
      <c r="F129" t="inlineStr">
        <is>
          <t>VÄSTRA GÖTALANDS LÄN</t>
        </is>
      </c>
      <c r="G129" t="inlineStr">
        <is>
          <t>LILLA EDET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25729-2026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46178</v>
      </c>
      <c r="E130" s="1" t="n">
        <v>46226</v>
      </c>
      <c r="F130" t="inlineStr">
        <is>
          <t>VÄSTRA GÖTALANDS LÄN</t>
        </is>
      </c>
      <c r="G130" t="inlineStr">
        <is>
          <t>LILLA EDET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28903-2024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45480</v>
      </c>
      <c r="E131" s="1" t="n">
        <v>46226</v>
      </c>
      <c r="F131" t="inlineStr">
        <is>
          <t>VÄSTRA GÖTALANDS LÄN</t>
        </is>
      </c>
      <c r="G131" t="inlineStr">
        <is>
          <t>LILLA EDET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23541-2026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46163</v>
      </c>
      <c r="E132" s="1" t="n">
        <v>46226</v>
      </c>
      <c r="F132" t="inlineStr">
        <is>
          <t>VÄSTRA GÖTALANDS LÄN</t>
        </is>
      </c>
      <c r="G132" t="inlineStr">
        <is>
          <t>LILLA EDET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61284-2022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44915</v>
      </c>
      <c r="E133" s="1" t="n">
        <v>46226</v>
      </c>
      <c r="F133" t="inlineStr">
        <is>
          <t>VÄSTRA GÖTALANDS LÄN</t>
        </is>
      </c>
      <c r="G133" t="inlineStr">
        <is>
          <t>LILLA EDET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12760-2023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45001</v>
      </c>
      <c r="E134" s="1" t="n">
        <v>46226</v>
      </c>
      <c r="F134" t="inlineStr">
        <is>
          <t>VÄSTRA GÖTALANDS LÄN</t>
        </is>
      </c>
      <c r="G134" t="inlineStr">
        <is>
          <t>LILLA EDET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62730-2023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45268</v>
      </c>
      <c r="E135" s="1" t="n">
        <v>46226</v>
      </c>
      <c r="F135" t="inlineStr">
        <is>
          <t>VÄSTRA GÖTALANDS LÄN</t>
        </is>
      </c>
      <c r="G135" t="inlineStr">
        <is>
          <t>LILLA EDET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11604-2024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45373</v>
      </c>
      <c r="E136" s="1" t="n">
        <v>46226</v>
      </c>
      <c r="F136" t="inlineStr">
        <is>
          <t>VÄSTRA GÖTALANDS LÄN</t>
        </is>
      </c>
      <c r="G136" t="inlineStr">
        <is>
          <t>LILLA EDET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5324-2025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45692</v>
      </c>
      <c r="E137" s="1" t="n">
        <v>46226</v>
      </c>
      <c r="F137" t="inlineStr">
        <is>
          <t>VÄSTRA GÖTALANDS LÄN</t>
        </is>
      </c>
      <c r="G137" t="inlineStr">
        <is>
          <t>LILLA EDET</t>
        </is>
      </c>
      <c r="I137" t="n">
        <v>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30605-2026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46210</v>
      </c>
      <c r="E138" s="1" t="n">
        <v>46226</v>
      </c>
      <c r="F138" t="inlineStr">
        <is>
          <t>VÄSTRA GÖTALANDS LÄN</t>
        </is>
      </c>
      <c r="G138" t="inlineStr">
        <is>
          <t>LILLA EDET</t>
        </is>
      </c>
      <c r="I138" t="n">
        <v>10.5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14891-2025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45743</v>
      </c>
      <c r="E139" s="1" t="n">
        <v>46226</v>
      </c>
      <c r="F139" t="inlineStr">
        <is>
          <t>VÄSTRA GÖTALANDS LÄN</t>
        </is>
      </c>
      <c r="G139" t="inlineStr">
        <is>
          <t>LILLA EDET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54804-2022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44883</v>
      </c>
      <c r="E140" s="1" t="n">
        <v>46226</v>
      </c>
      <c r="F140" t="inlineStr">
        <is>
          <t>VÄSTRA GÖTALANDS LÄN</t>
        </is>
      </c>
      <c r="G140" t="inlineStr">
        <is>
          <t>LILLA EDET</t>
        </is>
      </c>
      <c r="I140" t="n">
        <v>22.6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24700-2026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46171</v>
      </c>
      <c r="E141" s="1" t="n">
        <v>46226</v>
      </c>
      <c r="F141" t="inlineStr">
        <is>
          <t>VÄSTRA GÖTALANDS LÄN</t>
        </is>
      </c>
      <c r="G141" t="inlineStr">
        <is>
          <t>LILLA EDET</t>
        </is>
      </c>
      <c r="H141" t="inlineStr">
        <is>
          <t>Kyrkan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52431-2023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45225</v>
      </c>
      <c r="E142" s="1" t="n">
        <v>46226</v>
      </c>
      <c r="F142" t="inlineStr">
        <is>
          <t>VÄSTRA GÖTALANDS LÄN</t>
        </is>
      </c>
      <c r="G142" t="inlineStr">
        <is>
          <t>LILLA EDET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33993-2023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45134</v>
      </c>
      <c r="E143" s="1" t="n">
        <v>46226</v>
      </c>
      <c r="F143" t="inlineStr">
        <is>
          <t>VÄSTRA GÖTALANDS LÄN</t>
        </is>
      </c>
      <c r="G143" t="inlineStr">
        <is>
          <t>LILLA EDET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33996-2023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45134</v>
      </c>
      <c r="E144" s="1" t="n">
        <v>46226</v>
      </c>
      <c r="F144" t="inlineStr">
        <is>
          <t>VÄSTRA GÖTALANDS LÄN</t>
        </is>
      </c>
      <c r="G144" t="inlineStr">
        <is>
          <t>LILLA EDET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7947-2024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45350</v>
      </c>
      <c r="E145" s="1" t="n">
        <v>46226</v>
      </c>
      <c r="F145" t="inlineStr">
        <is>
          <t>VÄSTRA GÖTALANDS LÄN</t>
        </is>
      </c>
      <c r="G145" t="inlineStr">
        <is>
          <t>LILLA EDET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17116-2023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45034</v>
      </c>
      <c r="E146" s="1" t="n">
        <v>46226</v>
      </c>
      <c r="F146" t="inlineStr">
        <is>
          <t>VÄSTRA GÖTALANDS LÄN</t>
        </is>
      </c>
      <c r="G146" t="inlineStr">
        <is>
          <t>LILLA EDET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15567-2022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44662</v>
      </c>
      <c r="E147" s="1" t="n">
        <v>46226</v>
      </c>
      <c r="F147" t="inlineStr">
        <is>
          <t>VÄSTRA GÖTALANDS LÄN</t>
        </is>
      </c>
      <c r="G147" t="inlineStr">
        <is>
          <t>LILLA EDET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21630-2024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45442</v>
      </c>
      <c r="E148" s="1" t="n">
        <v>46226</v>
      </c>
      <c r="F148" t="inlineStr">
        <is>
          <t>VÄSTRA GÖTALANDS LÄN</t>
        </is>
      </c>
      <c r="G148" t="inlineStr">
        <is>
          <t>LILLA EDET</t>
        </is>
      </c>
      <c r="I148" t="n">
        <v>4.6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13382-2023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45005</v>
      </c>
      <c r="E149" s="1" t="n">
        <v>46226</v>
      </c>
      <c r="F149" t="inlineStr">
        <is>
          <t>VÄSTRA GÖTALANDS LÄN</t>
        </is>
      </c>
      <c r="G149" t="inlineStr">
        <is>
          <t>LILLA EDET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45299</v>
      </c>
      <c r="E150" s="1" t="n">
        <v>46226</v>
      </c>
      <c r="F150" t="inlineStr">
        <is>
          <t>VÄSTRA GÖTALANDS LÄN</t>
        </is>
      </c>
      <c r="G150" t="inlineStr">
        <is>
          <t>LILLA EDET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13887-2024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45391</v>
      </c>
      <c r="E151" s="1" t="n">
        <v>46226</v>
      </c>
      <c r="F151" t="inlineStr">
        <is>
          <t>VÄSTRA GÖTALANDS LÄN</t>
        </is>
      </c>
      <c r="G151" t="inlineStr">
        <is>
          <t>LILLA EDET</t>
        </is>
      </c>
      <c r="I151" t="n">
        <v>11.3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14929-2024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45398</v>
      </c>
      <c r="E152" s="1" t="n">
        <v>46226</v>
      </c>
      <c r="F152" t="inlineStr">
        <is>
          <t>VÄSTRA GÖTALANDS LÄN</t>
        </is>
      </c>
      <c r="G152" t="inlineStr">
        <is>
          <t>LILLA EDET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11104-2024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45371</v>
      </c>
      <c r="E153" s="1" t="n">
        <v>46226</v>
      </c>
      <c r="F153" t="inlineStr">
        <is>
          <t>VÄSTRA GÖTALANDS LÄN</t>
        </is>
      </c>
      <c r="G153" t="inlineStr">
        <is>
          <t>LILLA EDET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28910-2024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45480</v>
      </c>
      <c r="E154" s="1" t="n">
        <v>46226</v>
      </c>
      <c r="F154" t="inlineStr">
        <is>
          <t>VÄSTRA GÖTALANDS LÄN</t>
        </is>
      </c>
      <c r="G154" t="inlineStr">
        <is>
          <t>LILLA EDET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1382-2024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45303</v>
      </c>
      <c r="E155" s="1" t="n">
        <v>46226</v>
      </c>
      <c r="F155" t="inlineStr">
        <is>
          <t>VÄSTRA GÖTALANDS LÄN</t>
        </is>
      </c>
      <c r="G155" t="inlineStr">
        <is>
          <t>LILLA EDET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17114-2023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45034</v>
      </c>
      <c r="E156" s="1" t="n">
        <v>46226</v>
      </c>
      <c r="F156" t="inlineStr">
        <is>
          <t>VÄSTRA GÖTALANDS LÄN</t>
        </is>
      </c>
      <c r="G156" t="inlineStr">
        <is>
          <t>LILLA EDET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43767-2023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45187</v>
      </c>
      <c r="E157" s="1" t="n">
        <v>46226</v>
      </c>
      <c r="F157" t="inlineStr">
        <is>
          <t>VÄSTRA GÖTALANDS LÄN</t>
        </is>
      </c>
      <c r="G157" t="inlineStr">
        <is>
          <t>LILLA EDET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13631-2024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45390</v>
      </c>
      <c r="E158" s="1" t="n">
        <v>46226</v>
      </c>
      <c r="F158" t="inlineStr">
        <is>
          <t>VÄSTRA GÖTALANDS LÄN</t>
        </is>
      </c>
      <c r="G158" t="inlineStr">
        <is>
          <t>LILLA EDET</t>
        </is>
      </c>
      <c r="I158" t="n">
        <v>16.4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37508-2023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45158</v>
      </c>
      <c r="E159" s="1" t="n">
        <v>46226</v>
      </c>
      <c r="F159" t="inlineStr">
        <is>
          <t>VÄSTRA GÖTALANDS LÄN</t>
        </is>
      </c>
      <c r="G159" t="inlineStr">
        <is>
          <t>LILLA EDET</t>
        </is>
      </c>
      <c r="I159" t="n">
        <v>6.9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37509-2023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45158</v>
      </c>
      <c r="E160" s="1" t="n">
        <v>46226</v>
      </c>
      <c r="F160" t="inlineStr">
        <is>
          <t>VÄSTRA GÖTALANDS LÄN</t>
        </is>
      </c>
      <c r="G160" t="inlineStr">
        <is>
          <t>LILLA EDET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15159-2023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45016</v>
      </c>
      <c r="E161" s="1" t="n">
        <v>46226</v>
      </c>
      <c r="F161" t="inlineStr">
        <is>
          <t>VÄSTRA GÖTALANDS LÄN</t>
        </is>
      </c>
      <c r="G161" t="inlineStr">
        <is>
          <t>LILLA EDET</t>
        </is>
      </c>
      <c r="H161" t="inlineStr">
        <is>
          <t>Kommuner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49879-2023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45213</v>
      </c>
      <c r="E162" s="1" t="n">
        <v>46226</v>
      </c>
      <c r="F162" t="inlineStr">
        <is>
          <t>VÄSTRA GÖTALANDS LÄN</t>
        </is>
      </c>
      <c r="G162" t="inlineStr">
        <is>
          <t>LILLA EDET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44445-2023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45189</v>
      </c>
      <c r="E163" s="1" t="n">
        <v>46226</v>
      </c>
      <c r="F163" t="inlineStr">
        <is>
          <t>VÄSTRA GÖTALANDS LÄN</t>
        </is>
      </c>
      <c r="G163" t="inlineStr">
        <is>
          <t>LILLA EDET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33991-2023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45134</v>
      </c>
      <c r="E164" s="1" t="n">
        <v>46226</v>
      </c>
      <c r="F164" t="inlineStr">
        <is>
          <t>VÄSTRA GÖTALANDS LÄN</t>
        </is>
      </c>
      <c r="G164" t="inlineStr">
        <is>
          <t>LILLA EDET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5328-2025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45692</v>
      </c>
      <c r="E165" s="1" t="n">
        <v>46226</v>
      </c>
      <c r="F165" t="inlineStr">
        <is>
          <t>VÄSTRA GÖTALANDS LÄN</t>
        </is>
      </c>
      <c r="G165" t="inlineStr">
        <is>
          <t>LILLA EDET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3867-2025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45684</v>
      </c>
      <c r="E166" s="1" t="n">
        <v>46226</v>
      </c>
      <c r="F166" t="inlineStr">
        <is>
          <t>VÄSTRA GÖTALANDS LÄN</t>
        </is>
      </c>
      <c r="G166" t="inlineStr">
        <is>
          <t>LILLA EDET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21617-2024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45441</v>
      </c>
      <c r="E167" s="1" t="n">
        <v>46226</v>
      </c>
      <c r="F167" t="inlineStr">
        <is>
          <t>VÄSTRA GÖTALANDS LÄN</t>
        </is>
      </c>
      <c r="G167" t="inlineStr">
        <is>
          <t>LILLA EDET</t>
        </is>
      </c>
      <c r="I167" t="n">
        <v>9.699999999999999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22561-2025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45789</v>
      </c>
      <c r="E168" s="1" t="n">
        <v>46226</v>
      </c>
      <c r="F168" t="inlineStr">
        <is>
          <t>VÄSTRA GÖTALANDS LÄN</t>
        </is>
      </c>
      <c r="G168" t="inlineStr">
        <is>
          <t>LILLA EDET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12790-2025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45733</v>
      </c>
      <c r="E169" s="1" t="n">
        <v>46226</v>
      </c>
      <c r="F169" t="inlineStr">
        <is>
          <t>VÄSTRA GÖTALANDS LÄN</t>
        </is>
      </c>
      <c r="G169" t="inlineStr">
        <is>
          <t>LILLA EDET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12243-2025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45729</v>
      </c>
      <c r="E170" s="1" t="n">
        <v>46226</v>
      </c>
      <c r="F170" t="inlineStr">
        <is>
          <t>VÄSTRA GÖTALANDS LÄN</t>
        </is>
      </c>
      <c r="G170" t="inlineStr">
        <is>
          <t>LILLA EDET</t>
        </is>
      </c>
      <c r="I170" t="n">
        <v>10.2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30724-2024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45496</v>
      </c>
      <c r="E171" s="1" t="n">
        <v>46226</v>
      </c>
      <c r="F171" t="inlineStr">
        <is>
          <t>VÄSTRA GÖTALANDS LÄN</t>
        </is>
      </c>
      <c r="G171" t="inlineStr">
        <is>
          <t>LILLA EDET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23374-2025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45791</v>
      </c>
      <c r="E172" s="1" t="n">
        <v>46226</v>
      </c>
      <c r="F172" t="inlineStr">
        <is>
          <t>VÄSTRA GÖTALANDS LÄN</t>
        </is>
      </c>
      <c r="G172" t="inlineStr">
        <is>
          <t>LILLA EDET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23509-2025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45792</v>
      </c>
      <c r="E173" s="1" t="n">
        <v>46226</v>
      </c>
      <c r="F173" t="inlineStr">
        <is>
          <t>VÄSTRA GÖTALANDS LÄN</t>
        </is>
      </c>
      <c r="G173" t="inlineStr">
        <is>
          <t>LILLA EDET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5743-2025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45694</v>
      </c>
      <c r="E174" s="1" t="n">
        <v>46226</v>
      </c>
      <c r="F174" t="inlineStr">
        <is>
          <t>VÄSTRA GÖTALANDS LÄN</t>
        </is>
      </c>
      <c r="G174" t="inlineStr">
        <is>
          <t>LILLA EDET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24053-2025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45796</v>
      </c>
      <c r="E175" s="1" t="n">
        <v>46226</v>
      </c>
      <c r="F175" t="inlineStr">
        <is>
          <t>VÄSTRA GÖTALANDS LÄN</t>
        </is>
      </c>
      <c r="G175" t="inlineStr">
        <is>
          <t>LILLA EDET</t>
        </is>
      </c>
      <c r="I175" t="n">
        <v>11.1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7819-2025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45706</v>
      </c>
      <c r="E176" s="1" t="n">
        <v>46226</v>
      </c>
      <c r="F176" t="inlineStr">
        <is>
          <t>VÄSTRA GÖTALANDS LÄN</t>
        </is>
      </c>
      <c r="G176" t="inlineStr">
        <is>
          <t>LILLA EDET</t>
        </is>
      </c>
      <c r="I176" t="n">
        <v>5.6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5740-2025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45694</v>
      </c>
      <c r="E177" s="1" t="n">
        <v>46226</v>
      </c>
      <c r="F177" t="inlineStr">
        <is>
          <t>VÄSTRA GÖTALANDS LÄN</t>
        </is>
      </c>
      <c r="G177" t="inlineStr">
        <is>
          <t>LILLA EDET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6384-2025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45699</v>
      </c>
      <c r="E178" s="1" t="n">
        <v>46226</v>
      </c>
      <c r="F178" t="inlineStr">
        <is>
          <t>VÄSTRA GÖTALANDS LÄN</t>
        </is>
      </c>
      <c r="G178" t="inlineStr">
        <is>
          <t>LILLA EDET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36984-2024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45539</v>
      </c>
      <c r="E179" s="1" t="n">
        <v>46226</v>
      </c>
      <c r="F179" t="inlineStr">
        <is>
          <t>VÄSTRA GÖTALANDS LÄN</t>
        </is>
      </c>
      <c r="G179" t="inlineStr">
        <is>
          <t>LILLA EDET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>
      <c r="A180" t="inlineStr">
        <is>
          <t>S 460-2023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44964</v>
      </c>
      <c r="E180" s="1" t="n">
        <v>46226</v>
      </c>
      <c r="F180" t="inlineStr">
        <is>
          <t>VÄSTRA GÖTALANDS LÄN</t>
        </is>
      </c>
      <c r="G180" t="inlineStr">
        <is>
          <t>LILLA EDET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2026-07-23T01:42:00Z</dcterms:created>
  <dcterms:modified xmlns:dcterms="http://purl.org/dc/terms/" xmlns:xsi="http://www.w3.org/2001/XMLSchema-instance" xsi:type="dcterms:W3CDTF">2026-07-23T01:42:01Z</dcterms:modified>
</cp:coreProperties>
</file>