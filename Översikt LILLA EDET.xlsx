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45295</v>
      </c>
      <c r="E2" s="1" t="n">
        <v>46307</v>
      </c>
      <c r="F2" t="inlineStr">
        <is>
          <t>VÄSTRA GÖTALANDS LÄN</t>
        </is>
      </c>
      <c r="G2" t="inlineStr">
        <is>
          <t>LILLA EDET</t>
        </is>
      </c>
      <c r="H2" t="inlineStr">
        <is>
          <t>Kyrkan</t>
        </is>
      </c>
      <c r="I2" t="n">
        <v>16</v>
      </c>
      <c r="J2" t="n">
        <v>3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9</v>
      </c>
      <c r="T2" t="n">
        <v>28</v>
      </c>
      <c r="U2" t="n">
        <v>28</v>
      </c>
      <c r="V2" s="2" t="inlineStr">
        <is>
          <t>Fällmossa
Havstulpanlav
Kambräken
Klippfrullania
Stor revmossa
Västlig hakmossa
Spillkråka
Tjäder
Revlummer</t>
        </is>
      </c>
      <c r="W2">
        <f>HYPERLINK("https://klasma.github.io/Logging_1462/artfynd/A 315-2024 artfynd.xlsx", "A 315-2024")</f>
        <v/>
      </c>
      <c r="X2">
        <f>HYPERLINK("https://klasma.github.io/Logging_1462/kartor/A 315-2024 karta.png", "A 315-2024")</f>
        <v/>
      </c>
      <c r="Y2">
        <f>HYPERLINK("https://klasma.github.io/Logging_1462/kartor_geotiff/A 315-2024 georefererad karta.tif", "A 315-2024")</f>
        <v/>
      </c>
      <c r="AA2">
        <f>HYPERLINK("https://klasma.github.io/Logging_1462/klagomål/A 315-2024 FSC-klagomål.docx", "A 315-2024")</f>
        <v/>
      </c>
      <c r="AB2">
        <f>HYPERLINK("https://klasma.github.io/Logging_1462/klagomålsmail/A 315-2024 FSC-klagomål mail.docx", "A 315-2024")</f>
        <v/>
      </c>
      <c r="AC2">
        <f>HYPERLINK("https://klasma.github.io/Logging_1462/tillsyn/A 315-2024 tillsynsbegäran.docx", "A 315-2024")</f>
        <v/>
      </c>
      <c r="AD2">
        <f>HYPERLINK("https://klasma.github.io/Logging_1462/tillsynsmail/A 315-2024 tillsynsbegäran mail.docx", "A 315-2024")</f>
        <v/>
      </c>
      <c r="AE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8.1</v>
      </c>
      <c r="J3" t="n">
        <v>2</v>
      </c>
      <c r="K3" t="n">
        <v>5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17</v>
      </c>
      <c r="U3" t="n">
        <v>17</v>
      </c>
      <c r="V3" s="2" t="inlineStr">
        <is>
          <t>Kattfotslav
Blåmossa
Fällmossa
Klippfrullania
Stor revmossa
Västlig hakmossa
Spillkråka
Revlummer</t>
        </is>
      </c>
      <c r="W3">
        <f>HYPERLINK("https://klasma.github.io/Logging_1462/artfynd/A 318-2024 artfynd.xlsx", "A 318-2024")</f>
        <v/>
      </c>
      <c r="X3">
        <f>HYPERLINK("https://klasma.github.io/Logging_1462/kartor/A 318-2024 karta.png", "A 318-2024")</f>
        <v/>
      </c>
      <c r="Y3">
        <f>HYPERLINK("https://klasma.github.io/Logging_1462/kartor_geotiff/A 318-2024 georefererad karta.tif", "A 318-2024")</f>
        <v/>
      </c>
      <c r="AA3">
        <f>HYPERLINK("https://klasma.github.io/Logging_1462/klagomål/A 318-2024 FSC-klagomål.docx", "A 318-2024")</f>
        <v/>
      </c>
      <c r="AB3">
        <f>HYPERLINK("https://klasma.github.io/Logging_1462/klagomålsmail/A 318-2024 FSC-klagomål mail.docx", "A 318-2024")</f>
        <v/>
      </c>
      <c r="AC3">
        <f>HYPERLINK("https://klasma.github.io/Logging_1462/tillsyn/A 318-2024 tillsynsbegäran.docx", "A 318-2024")</f>
        <v/>
      </c>
      <c r="AD3">
        <f>HYPERLINK("https://klasma.github.io/Logging_1462/tillsynsmail/A 318-2024 tillsynsbegäran mail.docx", "A 318-2024")</f>
        <v/>
      </c>
      <c r="AE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46307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34396-2023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45139</v>
      </c>
      <c r="E5" s="1" t="n">
        <v>46307</v>
      </c>
      <c r="F5" t="inlineStr">
        <is>
          <t>VÄSTRA GÖTALANDS LÄN</t>
        </is>
      </c>
      <c r="G5" t="inlineStr">
        <is>
          <t>LILLA EDET</t>
        </is>
      </c>
      <c r="I5" t="n">
        <v>7</v>
      </c>
      <c r="J5" t="n">
        <v>2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24</v>
      </c>
      <c r="U5" t="n">
        <v>24</v>
      </c>
      <c r="V5" s="2" t="inlineStr">
        <is>
          <t>Björksplintborre
Blåmossa
Kambräken
Stor revmossa
Västlig hakmossa
Spillkråka
Revlummer</t>
        </is>
      </c>
      <c r="W5">
        <f>HYPERLINK("https://klasma.github.io/Logging_1462/artfynd/A 34396-2023 artfynd.xlsx", "A 34396-2023")</f>
        <v/>
      </c>
      <c r="X5">
        <f>HYPERLINK("https://klasma.github.io/Logging_1462/kartor/A 34396-2023 karta.png", "A 34396-2023")</f>
        <v/>
      </c>
      <c r="Y5">
        <f>HYPERLINK("https://klasma.github.io/Logging_1462/kartor_geotiff/A 34396-2023 georefererad karta.tif", "A 34396-2023")</f>
        <v/>
      </c>
      <c r="AA5">
        <f>HYPERLINK("https://klasma.github.io/Logging_1462/klagomål/A 34396-2023 FSC-klagomål.docx", "A 34396-2023")</f>
        <v/>
      </c>
      <c r="AB5">
        <f>HYPERLINK("https://klasma.github.io/Logging_1462/klagomålsmail/A 34396-2023 FSC-klagomål mail.docx", "A 34396-2023")</f>
        <v/>
      </c>
      <c r="AC5">
        <f>HYPERLINK("https://klasma.github.io/Logging_1462/tillsyn/A 34396-2023 tillsynsbegäran.docx", "A 34396-2023")</f>
        <v/>
      </c>
      <c r="AD5">
        <f>HYPERLINK("https://klasma.github.io/Logging_1462/tillsynsmail/A 34396-2023 tillsynsbegäran mail.docx", "A 34396-2023")</f>
        <v/>
      </c>
      <c r="AE5">
        <f>HYPERLINK("https://klasma.github.io/Logging_1462/fåglar/A 34396-2023 prioriterade fågelarter.docx", "A 34396-2023")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46307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4017-2026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46307</v>
      </c>
      <c r="F7" t="inlineStr">
        <is>
          <t>VÄSTRA GÖTALANDS LÄN</t>
        </is>
      </c>
      <c r="G7" t="inlineStr">
        <is>
          <t>LILLA EDET</t>
        </is>
      </c>
      <c r="I7" t="n">
        <v>3.3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14</v>
      </c>
      <c r="U7" t="n">
        <v>2</v>
      </c>
      <c r="V7" s="2" t="inlineStr">
        <is>
          <t>Klippfrullania
Stor revmossa
Västlig hakmossa
Spillkråka
Revlummer</t>
        </is>
      </c>
      <c r="W7">
        <f>HYPERLINK("https://klasma.github.io/Logging_1462/artfynd/A 4017-2026 artfynd.xlsx", "A 4017-2026")</f>
        <v/>
      </c>
      <c r="X7">
        <f>HYPERLINK("https://klasma.github.io/Logging_1462/kartor/A 4017-2026 karta.png", "A 4017-2026")</f>
        <v/>
      </c>
      <c r="Y7">
        <f>HYPERLINK("https://klasma.github.io/Logging_1462/kartor_geotiff/A 4017-2026 georefererad karta.tif", "A 4017-2026")</f>
        <v/>
      </c>
      <c r="AA7">
        <f>HYPERLINK("https://klasma.github.io/Logging_1462/klagomål/A 4017-2026 FSC-klagomål.docx", "A 4017-2026")</f>
        <v/>
      </c>
      <c r="AB7">
        <f>HYPERLINK("https://klasma.github.io/Logging_1462/klagomålsmail/A 4017-2026 FSC-klagomål mail.docx", "A 4017-2026")</f>
        <v/>
      </c>
      <c r="AC7">
        <f>HYPERLINK("https://klasma.github.io/Logging_1462/tillsyn/A 4017-2026 tillsynsbegäran.docx", "A 4017-2026")</f>
        <v/>
      </c>
      <c r="AD7">
        <f>HYPERLINK("https://klasma.github.io/Logging_1462/tillsynsmail/A 4017-2026 tillsynsbegäran mail.docx", "A 4017-2026")</f>
        <v/>
      </c>
      <c r="AE7">
        <f>HYPERLINK("https://klasma.github.io/Logging_1462/fåglar/A 4017-2026 prioriterade fågelarter.docx", "A 4017-2026")</f>
        <v/>
      </c>
    </row>
    <row r="8" ht="15" customHeight="1">
      <c r="A8" t="inlineStr">
        <is>
          <t>A 40487-2026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46295</v>
      </c>
      <c r="E8" s="1" t="n">
        <v>46307</v>
      </c>
      <c r="F8" t="inlineStr">
        <is>
          <t>VÄSTRA GÖTALANDS LÄN</t>
        </is>
      </c>
      <c r="G8" t="inlineStr">
        <is>
          <t>LILLA EDET</t>
        </is>
      </c>
      <c r="I8" t="n">
        <v>11.4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11</v>
      </c>
      <c r="U8" t="n">
        <v>0</v>
      </c>
      <c r="V8" s="2" t="inlineStr">
        <is>
          <t>Kambräken
Mattlummer
Lopplummer (aggregat)
Revlummer
Äkta lopplummer</t>
        </is>
      </c>
      <c r="W8">
        <f>HYPERLINK("https://klasma.github.io/Logging_1462/artfynd/A 40487-2026 artfynd.xlsx", "A 40487-2026")</f>
        <v/>
      </c>
      <c r="X8">
        <f>HYPERLINK("https://klasma.github.io/Logging_1462/kartor/A 40487-2026 karta.png", "A 40487-2026")</f>
        <v/>
      </c>
      <c r="Y8">
        <f>HYPERLINK("https://klasma.github.io/Logging_1462/kartor_geotiff/A 40487-2026 georefererad karta.tif", "A 40487-2026")</f>
        <v/>
      </c>
      <c r="AA8">
        <f>HYPERLINK("https://klasma.github.io/Logging_1462/klagomål/A 40487-2026 FSC-klagomål.docx", "A 40487-2026")</f>
        <v/>
      </c>
      <c r="AB8">
        <f>HYPERLINK("https://klasma.github.io/Logging_1462/klagomålsmail/A 40487-2026 FSC-klagomål mail.docx", "A 40487-2026")</f>
        <v/>
      </c>
      <c r="AC8">
        <f>HYPERLINK("https://klasma.github.io/Logging_1462/tillsyn/A 40487-2026 tillsynsbegäran.docx", "A 40487-2026")</f>
        <v/>
      </c>
      <c r="AD8">
        <f>HYPERLINK("https://klasma.github.io/Logging_1462/tillsynsmail/A 40487-2026 tillsynsbegäran mail.docx", "A 40487-2026")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46307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46307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46307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46307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46307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46307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46307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46307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46307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46307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46307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46307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46307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46307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46307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7062-2024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45343</v>
      </c>
      <c r="E25" s="1" t="n">
        <v>46307</v>
      </c>
      <c r="F25" t="inlineStr">
        <is>
          <t>VÄSTRA GÖTALANDS LÄN</t>
        </is>
      </c>
      <c r="G25" t="inlineStr">
        <is>
          <t>LILLA EDET</t>
        </is>
      </c>
      <c r="I25" t="n">
        <v>9.1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HYPERLINK("https://klasma.github.io/Logging_1462/artfynd/A 7062-2024 artfynd.xlsx", "A 7062-2024")</f>
        <v/>
      </c>
      <c r="X25">
        <f>HYPERLINK("https://klasma.github.io/Logging_1462/kartor/A 7062-2024 karta.png", "A 7062-2024")</f>
        <v/>
      </c>
      <c r="Y25">
        <f>HYPERLINK("https://klasma.github.io/Logging_1462/kartor_geotiff/A 7062-2024 georefererad karta.tif", "A 7062-2024")</f>
        <v/>
      </c>
      <c r="AA25">
        <f>HYPERLINK("https://klasma.github.io/Logging_1462/klagomål/A 7062-2024 FSC-klagomål.docx", "A 7062-2024")</f>
        <v/>
      </c>
      <c r="AB25">
        <f>HYPERLINK("https://klasma.github.io/Logging_1462/klagomålsmail/A 7062-2024 FSC-klagomål mail.docx", "A 7062-2024")</f>
        <v/>
      </c>
      <c r="AC25">
        <f>HYPERLINK("https://klasma.github.io/Logging_1462/tillsyn/A 7062-2024 tillsynsbegäran.docx", "A 7062-2024")</f>
        <v/>
      </c>
      <c r="AD25">
        <f>HYPERLINK("https://klasma.github.io/Logging_1462/tillsynsmail/A 7062-2024 tillsynsbegäran mail.docx", "A 7062-2024")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46307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46307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46307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46307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46307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46307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46307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46307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46307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46307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46307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46307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46307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46307</v>
      </c>
      <c r="F39" t="inlineStr">
        <is>
          <t>VÄSTRA GÖTALANDS LÄN</t>
        </is>
      </c>
      <c r="G39" t="inlineStr">
        <is>
          <t>LILLA EDET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41420-2022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46307</v>
      </c>
      <c r="F40" t="inlineStr">
        <is>
          <t>VÄSTRA GÖTALANDS LÄN</t>
        </is>
      </c>
      <c r="G40" t="inlineStr">
        <is>
          <t>LILLA EDET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46307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46307</v>
      </c>
      <c r="F42" t="inlineStr">
        <is>
          <t>VÄSTRA GÖTALANDS LÄN</t>
        </is>
      </c>
      <c r="G42" t="inlineStr">
        <is>
          <t>LILLA EDET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46307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36359-2022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44803</v>
      </c>
      <c r="E45" s="1" t="n">
        <v>46307</v>
      </c>
      <c r="F45" t="inlineStr">
        <is>
          <t>VÄSTRA GÖTALANDS LÄN</t>
        </is>
      </c>
      <c r="G45" t="inlineStr">
        <is>
          <t>LILLA EDET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17116-2023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45034</v>
      </c>
      <c r="E46" s="1" t="n">
        <v>46307</v>
      </c>
      <c r="F46" t="inlineStr">
        <is>
          <t>VÄSTRA GÖTALANDS LÄN</t>
        </is>
      </c>
      <c r="G46" t="inlineStr">
        <is>
          <t>LILLA EDET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46307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46307</v>
      </c>
      <c r="F48" t="inlineStr">
        <is>
          <t>VÄSTRA GÖTALANDS LÄN</t>
        </is>
      </c>
      <c r="G48" t="inlineStr">
        <is>
          <t>LILLA EDET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45391</v>
      </c>
      <c r="E49" s="1" t="n">
        <v>46307</v>
      </c>
      <c r="F49" t="inlineStr">
        <is>
          <t>VÄSTRA GÖTALANDS LÄN</t>
        </is>
      </c>
      <c r="G49" t="inlineStr">
        <is>
          <t>LILLA EDET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45693</v>
      </c>
      <c r="E50" s="1" t="n">
        <v>46307</v>
      </c>
      <c r="F50" t="inlineStr">
        <is>
          <t>VÄSTRA GÖTALANDS LÄN</t>
        </is>
      </c>
      <c r="G50" t="inlineStr">
        <is>
          <t>LILLA EDET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46307</v>
      </c>
      <c r="F51" t="inlineStr">
        <is>
          <t>VÄSTRA GÖTALANDS LÄN</t>
        </is>
      </c>
      <c r="G51" t="inlineStr">
        <is>
          <t>LILLA EDET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45481</v>
      </c>
      <c r="E52" s="1" t="n">
        <v>46307</v>
      </c>
      <c r="F52" t="inlineStr">
        <is>
          <t>VÄSTRA GÖTALANDS LÄN</t>
        </is>
      </c>
      <c r="G52" t="inlineStr">
        <is>
          <t>LILLA EDET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46307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46307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46307</v>
      </c>
      <c r="F55" t="inlineStr">
        <is>
          <t>VÄSTRA GÖTALANDS LÄN</t>
        </is>
      </c>
      <c r="G55" t="inlineStr">
        <is>
          <t>LILLA EDET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46307</v>
      </c>
      <c r="F56" t="inlineStr">
        <is>
          <t>VÄSTRA GÖTALANDS LÄN</t>
        </is>
      </c>
      <c r="G56" t="inlineStr">
        <is>
          <t>LILLA EDET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46307</v>
      </c>
      <c r="F57" t="inlineStr">
        <is>
          <t>VÄSTRA GÖTALANDS LÄN</t>
        </is>
      </c>
      <c r="G57" t="inlineStr">
        <is>
          <t>LILLA EDET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17114-2023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46307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46307</v>
      </c>
      <c r="F59" t="inlineStr">
        <is>
          <t>VÄSTRA GÖTALANDS LÄN</t>
        </is>
      </c>
      <c r="G59" t="inlineStr">
        <is>
          <t>LILLA EDET</t>
        </is>
      </c>
      <c r="I59" t="n">
        <v>16.4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45225</v>
      </c>
      <c r="E60" s="1" t="n">
        <v>46307</v>
      </c>
      <c r="F60" t="inlineStr">
        <is>
          <t>VÄSTRA GÖTALANDS LÄN</t>
        </is>
      </c>
      <c r="G60" t="inlineStr">
        <is>
          <t>LILLA EDET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46307</v>
      </c>
      <c r="F61" t="inlineStr">
        <is>
          <t>VÄSTRA GÖTALANDS LÄN</t>
        </is>
      </c>
      <c r="G61" t="inlineStr">
        <is>
          <t>LILLA EDET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46307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46307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45350</v>
      </c>
      <c r="E64" s="1" t="n">
        <v>46307</v>
      </c>
      <c r="F64" t="inlineStr">
        <is>
          <t>VÄSTRA GÖTALANDS LÄN</t>
        </is>
      </c>
      <c r="G64" t="inlineStr">
        <is>
          <t>LILLA EDET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46307</v>
      </c>
      <c r="F65" t="inlineStr">
        <is>
          <t>VÄSTRA GÖTALANDS LÄN</t>
        </is>
      </c>
      <c r="G65" t="inlineStr">
        <is>
          <t>LILLA EDET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46307</v>
      </c>
      <c r="F66" t="inlineStr">
        <is>
          <t>VÄSTRA GÖTALANDS LÄN</t>
        </is>
      </c>
      <c r="G66" t="inlineStr">
        <is>
          <t>LILLA EDET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45008</v>
      </c>
      <c r="E67" s="1" t="n">
        <v>46307</v>
      </c>
      <c r="F67" t="inlineStr">
        <is>
          <t>VÄSTRA GÖTALANDS LÄN</t>
        </is>
      </c>
      <c r="G67" t="inlineStr">
        <is>
          <t>LILLA EDET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46307</v>
      </c>
      <c r="F68" t="inlineStr">
        <is>
          <t>VÄSTRA GÖTALANDS LÄN</t>
        </is>
      </c>
      <c r="G68" t="inlineStr">
        <is>
          <t>LILLA EDET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46307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46307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46307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46307</v>
      </c>
      <c r="F72" t="inlineStr">
        <is>
          <t>VÄSTRA GÖTALANDS LÄN</t>
        </is>
      </c>
      <c r="G72" t="inlineStr">
        <is>
          <t>LILLA EDET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46307</v>
      </c>
      <c r="F73" t="inlineStr">
        <is>
          <t>VÄSTRA GÖTALANDS LÄN</t>
        </is>
      </c>
      <c r="G73" t="inlineStr">
        <is>
          <t>LILLA EDET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46307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45296</v>
      </c>
      <c r="E75" s="1" t="n">
        <v>46307</v>
      </c>
      <c r="F75" t="inlineStr">
        <is>
          <t>VÄSTRA GÖTALANDS LÄN</t>
        </is>
      </c>
      <c r="G75" t="inlineStr">
        <is>
          <t>LILLA EDET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45006</v>
      </c>
      <c r="E76" s="1" t="n">
        <v>46307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46307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46307</v>
      </c>
      <c r="F78" t="inlineStr">
        <is>
          <t>VÄSTRA GÖTALANDS LÄN</t>
        </is>
      </c>
      <c r="G78" t="inlineStr">
        <is>
          <t>LILLA EDET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46307</v>
      </c>
      <c r="F79" t="inlineStr">
        <is>
          <t>VÄSTRA GÖTALANDS LÄN</t>
        </is>
      </c>
      <c r="G79" t="inlineStr">
        <is>
          <t>LILLA EDET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46307</v>
      </c>
      <c r="F80" t="inlineStr">
        <is>
          <t>VÄSTRA GÖTALANDS LÄN</t>
        </is>
      </c>
      <c r="G80" t="inlineStr">
        <is>
          <t>LILLA EDET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46307</v>
      </c>
      <c r="F81" t="inlineStr">
        <is>
          <t>VÄSTRA GÖTALANDS LÄN</t>
        </is>
      </c>
      <c r="G81" t="inlineStr">
        <is>
          <t>LILLA EDET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45213</v>
      </c>
      <c r="E82" s="1" t="n">
        <v>46307</v>
      </c>
      <c r="F82" t="inlineStr">
        <is>
          <t>VÄSTRA GÖTALANDS LÄN</t>
        </is>
      </c>
      <c r="G82" t="inlineStr">
        <is>
          <t>LILLA EDET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46307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46307</v>
      </c>
      <c r="F84" t="inlineStr">
        <is>
          <t>VÄSTRA GÖTALANDS LÄN</t>
        </is>
      </c>
      <c r="G84" t="inlineStr">
        <is>
          <t>LILLA EDET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46307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46307</v>
      </c>
      <c r="F86" t="inlineStr">
        <is>
          <t>VÄSTRA GÖTALANDS LÄN</t>
        </is>
      </c>
      <c r="G86" t="inlineStr">
        <is>
          <t>LILLA EDET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46307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45303</v>
      </c>
      <c r="E88" s="1" t="n">
        <v>46307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46307</v>
      </c>
      <c r="F89" t="inlineStr">
        <is>
          <t>VÄSTRA GÖTALANDS LÄN</t>
        </is>
      </c>
      <c r="G89" t="inlineStr">
        <is>
          <t>LILLA EDET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46307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46307</v>
      </c>
      <c r="F91" t="inlineStr">
        <is>
          <t>VÄSTRA GÖTALANDS LÄN</t>
        </is>
      </c>
      <c r="G91" t="inlineStr">
        <is>
          <t>LILLA EDET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46307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46307</v>
      </c>
      <c r="F93" t="inlineStr">
        <is>
          <t>VÄSTRA GÖTALANDS LÄN</t>
        </is>
      </c>
      <c r="G93" t="inlineStr">
        <is>
          <t>LILLA EDET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46307</v>
      </c>
      <c r="F94" t="inlineStr">
        <is>
          <t>VÄSTRA GÖTALANDS LÄN</t>
        </is>
      </c>
      <c r="G94" t="inlineStr">
        <is>
          <t>LILLA EDET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46307</v>
      </c>
      <c r="F95" t="inlineStr">
        <is>
          <t>VÄSTRA GÖTALANDS LÄN</t>
        </is>
      </c>
      <c r="G95" t="inlineStr">
        <is>
          <t>LILLA EDET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46307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46307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46307</v>
      </c>
      <c r="F98" t="inlineStr">
        <is>
          <t>VÄSTRA GÖTALANDS LÄN</t>
        </is>
      </c>
      <c r="G98" t="inlineStr">
        <is>
          <t>LILLA EDET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46307</v>
      </c>
      <c r="F99" t="inlineStr">
        <is>
          <t>VÄSTRA GÖTALANDS LÄN</t>
        </is>
      </c>
      <c r="G99" t="inlineStr">
        <is>
          <t>LILLA EDET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46307</v>
      </c>
      <c r="F100" t="inlineStr">
        <is>
          <t>VÄSTRA GÖTALANDS LÄN</t>
        </is>
      </c>
      <c r="G100" t="inlineStr">
        <is>
          <t>LILLA EDET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45441</v>
      </c>
      <c r="E101" s="1" t="n">
        <v>46307</v>
      </c>
      <c r="F101" t="inlineStr">
        <is>
          <t>VÄSTRA GÖTALANDS LÄN</t>
        </is>
      </c>
      <c r="G101" t="inlineStr">
        <is>
          <t>LILLA EDET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46307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30724-2024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45496</v>
      </c>
      <c r="E103" s="1" t="n">
        <v>46307</v>
      </c>
      <c r="F103" t="inlineStr">
        <is>
          <t>VÄSTRA GÖTALANDS LÄN</t>
        </is>
      </c>
      <c r="G103" t="inlineStr">
        <is>
          <t>LILLA EDET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46307</v>
      </c>
      <c r="F104" t="inlineStr">
        <is>
          <t>VÄSTRA GÖTALANDS LÄN</t>
        </is>
      </c>
      <c r="G104" t="inlineStr">
        <is>
          <t>LILLA EDET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46307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45792</v>
      </c>
      <c r="E106" s="1" t="n">
        <v>46307</v>
      </c>
      <c r="F106" t="inlineStr">
        <is>
          <t>VÄSTRA GÖTALANDS LÄN</t>
        </is>
      </c>
      <c r="G106" t="inlineStr">
        <is>
          <t>LILLA EDET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46307</v>
      </c>
      <c r="F107" t="inlineStr">
        <is>
          <t>VÄSTRA GÖTALANDS LÄN</t>
        </is>
      </c>
      <c r="G107" t="inlineStr">
        <is>
          <t>LILLA EDET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46307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46307</v>
      </c>
      <c r="F109" t="inlineStr">
        <is>
          <t>VÄSTRA GÖTALANDS LÄN</t>
        </is>
      </c>
      <c r="G109" t="inlineStr">
        <is>
          <t>LILLA EDET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45729</v>
      </c>
      <c r="E110" s="1" t="n">
        <v>46307</v>
      </c>
      <c r="F110" t="inlineStr">
        <is>
          <t>VÄSTRA GÖTALANDS LÄN</t>
        </is>
      </c>
      <c r="G110" t="inlineStr">
        <is>
          <t>LILLA EDET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24053-2025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45796</v>
      </c>
      <c r="E111" s="1" t="n">
        <v>46307</v>
      </c>
      <c r="F111" t="inlineStr">
        <is>
          <t>VÄSTRA GÖTALANDS LÄN</t>
        </is>
      </c>
      <c r="G111" t="inlineStr">
        <is>
          <t>LILLA EDET</t>
        </is>
      </c>
      <c r="I111" t="n">
        <v>11.1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45694</v>
      </c>
      <c r="E112" s="1" t="n">
        <v>46307</v>
      </c>
      <c r="F112" t="inlineStr">
        <is>
          <t>VÄSTRA GÖTALANDS LÄN</t>
        </is>
      </c>
      <c r="G112" t="inlineStr">
        <is>
          <t>LILLA EDET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46307</v>
      </c>
      <c r="F113" t="inlineStr">
        <is>
          <t>VÄSTRA GÖTALANDS LÄN</t>
        </is>
      </c>
      <c r="G113" t="inlineStr">
        <is>
          <t>LILLA EDET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46307</v>
      </c>
      <c r="F114" t="inlineStr">
        <is>
          <t>VÄSTRA GÖTALANDS LÄN</t>
        </is>
      </c>
      <c r="G114" t="inlineStr">
        <is>
          <t>LILLA EDET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46307</v>
      </c>
      <c r="F115" t="inlineStr">
        <is>
          <t>VÄSTRA GÖTALANDS LÄN</t>
        </is>
      </c>
      <c r="G115" t="inlineStr">
        <is>
          <t>LILLA EDET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46307</v>
      </c>
      <c r="F116" t="inlineStr">
        <is>
          <t>VÄSTRA GÖTALANDS LÄN</t>
        </is>
      </c>
      <c r="G116" t="inlineStr">
        <is>
          <t>LILLA EDET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46307</v>
      </c>
      <c r="F117" t="inlineStr">
        <is>
          <t>VÄSTRA GÖTALANDS LÄN</t>
        </is>
      </c>
      <c r="G117" t="inlineStr">
        <is>
          <t>LILLA EDET</t>
        </is>
      </c>
      <c r="I117" t="n">
        <v>11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46307</v>
      </c>
      <c r="F118" t="inlineStr">
        <is>
          <t>VÄSTRA GÖTALANDS LÄN</t>
        </is>
      </c>
      <c r="G118" t="inlineStr">
        <is>
          <t>LILLA EDET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46307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46307</v>
      </c>
      <c r="F120" t="inlineStr">
        <is>
          <t>VÄSTRA GÖTALANDS LÄN</t>
        </is>
      </c>
      <c r="G120" t="inlineStr">
        <is>
          <t>LILLA EDET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46307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46307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46307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46307</v>
      </c>
      <c r="F124" t="inlineStr">
        <is>
          <t>VÄSTRA GÖTALANDS LÄN</t>
        </is>
      </c>
      <c r="G124" t="inlineStr">
        <is>
          <t>LILLA EDET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46307</v>
      </c>
      <c r="F125" t="inlineStr">
        <is>
          <t>VÄSTRA GÖTALANDS LÄN</t>
        </is>
      </c>
      <c r="G125" t="inlineStr">
        <is>
          <t>LILLA EDET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46307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46307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46307</v>
      </c>
      <c r="F128" t="inlineStr">
        <is>
          <t>VÄSTRA GÖTALANDS LÄN</t>
        </is>
      </c>
      <c r="G128" t="inlineStr">
        <is>
          <t>LILLA EDET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45480</v>
      </c>
      <c r="E129" s="1" t="n">
        <v>46307</v>
      </c>
      <c r="F129" t="inlineStr">
        <is>
          <t>VÄSTRA GÖTALANDS LÄN</t>
        </is>
      </c>
      <c r="G129" t="inlineStr">
        <is>
          <t>LILLA EDET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46307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46307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45000</v>
      </c>
      <c r="E132" s="1" t="n">
        <v>46307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46307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46307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45971</v>
      </c>
      <c r="E135" s="1" t="n">
        <v>46307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46307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46307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46307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45860</v>
      </c>
      <c r="E139" s="1" t="n">
        <v>46307</v>
      </c>
      <c r="F139" t="inlineStr">
        <is>
          <t>VÄSTRA GÖTALANDS LÄN</t>
        </is>
      </c>
      <c r="G139" t="inlineStr">
        <is>
          <t>LILLA EDET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46307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46307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45158</v>
      </c>
      <c r="E142" s="1" t="n">
        <v>46307</v>
      </c>
      <c r="F142" t="inlineStr">
        <is>
          <t>VÄSTRA GÖTALANDS LÄN</t>
        </is>
      </c>
      <c r="G142" t="inlineStr">
        <is>
          <t>LILLA EDET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45158</v>
      </c>
      <c r="E143" s="1" t="n">
        <v>46307</v>
      </c>
      <c r="F143" t="inlineStr">
        <is>
          <t>VÄSTRA GÖTALANDS LÄN</t>
        </is>
      </c>
      <c r="G143" t="inlineStr">
        <is>
          <t>LILLA EDET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46307</v>
      </c>
      <c r="F144" t="inlineStr">
        <is>
          <t>VÄSTRA GÖTALANDS LÄN</t>
        </is>
      </c>
      <c r="G144" t="inlineStr">
        <is>
          <t>LILLA EDET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46307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46307</v>
      </c>
      <c r="F146" t="inlineStr">
        <is>
          <t>VÄSTRA GÖTALANDS LÄN</t>
        </is>
      </c>
      <c r="G146" t="inlineStr">
        <is>
          <t>LILLA EDET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46307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46307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46307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45766</v>
      </c>
      <c r="E150" s="1" t="n">
        <v>46307</v>
      </c>
      <c r="F150" t="inlineStr">
        <is>
          <t>VÄSTRA GÖTALANDS LÄN</t>
        </is>
      </c>
      <c r="G150" t="inlineStr">
        <is>
          <t>LILLA EDET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46307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46307</v>
      </c>
      <c r="F152" t="inlineStr">
        <is>
          <t>VÄSTRA GÖTALANDS LÄN</t>
        </is>
      </c>
      <c r="G152" t="inlineStr">
        <is>
          <t>LILLA EDET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46307</v>
      </c>
      <c r="F153" t="inlineStr">
        <is>
          <t>VÄSTRA GÖTALANDS LÄN</t>
        </is>
      </c>
      <c r="G153" t="inlineStr">
        <is>
          <t>LILLA EDET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46307</v>
      </c>
      <c r="F154" t="inlineStr">
        <is>
          <t>VÄSTRA GÖTALANDS LÄN</t>
        </is>
      </c>
      <c r="G154" t="inlineStr">
        <is>
          <t>LILLA EDET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45653</v>
      </c>
      <c r="E155" s="1" t="n">
        <v>46307</v>
      </c>
      <c r="F155" t="inlineStr">
        <is>
          <t>VÄSTRA GÖTALANDS LÄN</t>
        </is>
      </c>
      <c r="G155" t="inlineStr">
        <is>
          <t>LILLA EDET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46307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46307</v>
      </c>
      <c r="F157" t="inlineStr">
        <is>
          <t>VÄSTRA GÖTALANDS LÄN</t>
        </is>
      </c>
      <c r="G157" t="inlineStr">
        <is>
          <t>LILLA EDET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46307</v>
      </c>
      <c r="F158" t="inlineStr">
        <is>
          <t>VÄSTRA GÖTALANDS LÄN</t>
        </is>
      </c>
      <c r="G158" t="inlineStr">
        <is>
          <t>LILLA EDET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46307</v>
      </c>
      <c r="F159" t="inlineStr">
        <is>
          <t>VÄSTRA GÖTALANDS LÄN</t>
        </is>
      </c>
      <c r="G159" t="inlineStr">
        <is>
          <t>LILLA EDET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46307</v>
      </c>
      <c r="F160" t="inlineStr">
        <is>
          <t>VÄSTRA GÖTALANDS LÄN</t>
        </is>
      </c>
      <c r="G160" t="inlineStr">
        <is>
          <t>LILLA EDET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45400</v>
      </c>
      <c r="E161" s="1" t="n">
        <v>46307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23541-2026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46163</v>
      </c>
      <c r="E162" s="1" t="n">
        <v>46307</v>
      </c>
      <c r="F162" t="inlineStr">
        <is>
          <t>VÄSTRA GÖTALANDS LÄN</t>
        </is>
      </c>
      <c r="G162" t="inlineStr">
        <is>
          <t>LILLA EDET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46307</v>
      </c>
      <c r="F163" t="inlineStr">
        <is>
          <t>VÄSTRA GÖTALANDS LÄN</t>
        </is>
      </c>
      <c r="G163" t="inlineStr">
        <is>
          <t>LILLA EDET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46307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46307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46190</v>
      </c>
      <c r="E166" s="1" t="n">
        <v>46307</v>
      </c>
      <c r="F166" t="inlineStr">
        <is>
          <t>VÄSTRA GÖTALANDS LÄN</t>
        </is>
      </c>
      <c r="G166" t="inlineStr">
        <is>
          <t>LILLA EDET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46307</v>
      </c>
      <c r="F167" t="inlineStr">
        <is>
          <t>VÄSTRA GÖTALANDS LÄN</t>
        </is>
      </c>
      <c r="G167" t="inlineStr">
        <is>
          <t>LILLA EDET</t>
        </is>
      </c>
      <c r="I167" t="n">
        <v>10.5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46307</v>
      </c>
      <c r="F168" t="inlineStr">
        <is>
          <t>VÄSTRA GÖTALANDS LÄN</t>
        </is>
      </c>
      <c r="G168" t="inlineStr">
        <is>
          <t>LILLA EDET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46266</v>
      </c>
      <c r="E169" s="1" t="n">
        <v>46307</v>
      </c>
      <c r="F169" t="inlineStr">
        <is>
          <t>VÄSTRA GÖTALANDS LÄN</t>
        </is>
      </c>
      <c r="G169" t="inlineStr">
        <is>
          <t>LILLA EDET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46307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46307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46307</v>
      </c>
      <c r="F172" t="inlineStr">
        <is>
          <t>VÄSTRA GÖTALANDS LÄN</t>
        </is>
      </c>
      <c r="G172" t="inlineStr">
        <is>
          <t>LILLA EDET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46242</v>
      </c>
      <c r="E173" s="1" t="n">
        <v>46307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46307</v>
      </c>
      <c r="F174" t="inlineStr">
        <is>
          <t>VÄSTRA GÖTALANDS LÄN</t>
        </is>
      </c>
      <c r="G174" t="inlineStr">
        <is>
          <t>LILLA EDET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46307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2026-10-12T02:00:21Z</dcterms:created>
  <dcterms:modified xmlns:dcterms="http://purl.org/dc/terms/" xmlns:xsi="http://www.w3.org/2001/XMLSchema-instance" xsi:type="dcterms:W3CDTF">2026-10-12T02:00:22Z</dcterms:modified>
</cp:coreProperties>
</file>