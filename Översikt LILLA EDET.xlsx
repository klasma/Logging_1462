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45801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45801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45801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45801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45801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45801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45801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45801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45801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45801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12972-2020</t>
        </is>
      </c>
      <c r="B12" s="1" t="n">
        <v>43900</v>
      </c>
      <c r="C12" s="1" t="n">
        <v>45801</v>
      </c>
      <c r="D12" t="inlineStr">
        <is>
          <t>VÄSTRA GÖTALANDS LÄN</t>
        </is>
      </c>
      <c r="E12" t="inlineStr">
        <is>
          <t>LILLA EDET</t>
        </is>
      </c>
      <c r="G12" t="n">
        <v>31.3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Platt fjädermossa</t>
        </is>
      </c>
      <c r="S12">
        <f>HYPERLINK("https://klasma.github.io/Logging_1462/artfynd/A 12972-2020 artfynd.xlsx", "A 12972-2020")</f>
        <v/>
      </c>
      <c r="T12">
        <f>HYPERLINK("https://klasma.github.io/Logging_1462/kartor/A 12972-2020 karta.png", "A 12972-2020")</f>
        <v/>
      </c>
      <c r="V12">
        <f>HYPERLINK("https://klasma.github.io/Logging_1462/klagomål/A 12972-2020 FSC-klagomål.docx", "A 12972-2020")</f>
        <v/>
      </c>
      <c r="W12">
        <f>HYPERLINK("https://klasma.github.io/Logging_1462/klagomålsmail/A 12972-2020 FSC-klagomål mail.docx", "A 12972-2020")</f>
        <v/>
      </c>
      <c r="X12">
        <f>HYPERLINK("https://klasma.github.io/Logging_1462/tillsyn/A 12972-2020 tillsynsbegäran.docx", "A 12972-2020")</f>
        <v/>
      </c>
      <c r="Y12">
        <f>HYPERLINK("https://klasma.github.io/Logging_1462/tillsynsmail/A 12972-2020 tillsynsbegäran mail.docx", "A 12972-2020")</f>
        <v/>
      </c>
    </row>
    <row r="13" ht="15" customHeight="1">
      <c r="A13" t="inlineStr">
        <is>
          <t>A 9099-2022</t>
        </is>
      </c>
      <c r="B13" s="1" t="n">
        <v>44615</v>
      </c>
      <c r="C13" s="1" t="n">
        <v>45801</v>
      </c>
      <c r="D13" t="inlineStr">
        <is>
          <t>VÄSTRA GÖTALANDS LÄN</t>
        </is>
      </c>
      <c r="E13" t="inlineStr">
        <is>
          <t>LILLA EDET</t>
        </is>
      </c>
      <c r="G13" t="n">
        <v>3.8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Liten havstulpanlav
Havstulpanlav</t>
        </is>
      </c>
      <c r="S13">
        <f>HYPERLINK("https://klasma.github.io/Logging_1462/artfynd/A 9099-2022 artfynd.xlsx", "A 9099-2022")</f>
        <v/>
      </c>
      <c r="T13">
        <f>HYPERLINK("https://klasma.github.io/Logging_1462/kartor/A 9099-2022 karta.png", "A 9099-2022")</f>
        <v/>
      </c>
      <c r="V13">
        <f>HYPERLINK("https://klasma.github.io/Logging_1462/klagomål/A 9099-2022 FSC-klagomål.docx", "A 9099-2022")</f>
        <v/>
      </c>
      <c r="W13">
        <f>HYPERLINK("https://klasma.github.io/Logging_1462/klagomålsmail/A 9099-2022 FSC-klagomål mail.docx", "A 9099-2022")</f>
        <v/>
      </c>
      <c r="X13">
        <f>HYPERLINK("https://klasma.github.io/Logging_1462/tillsyn/A 9099-2022 tillsynsbegäran.docx", "A 9099-2022")</f>
        <v/>
      </c>
      <c r="Y13">
        <f>HYPERLINK("https://klasma.github.io/Logging_1462/tillsynsmail/A 9099-2022 tillsynsbegäran mail.docx", "A 9099-2022")</f>
        <v/>
      </c>
    </row>
    <row r="14" ht="15" customHeight="1">
      <c r="A14" t="inlineStr">
        <is>
          <t>A 12617-2023</t>
        </is>
      </c>
      <c r="B14" s="1" t="n">
        <v>45000</v>
      </c>
      <c r="C14" s="1" t="n">
        <v>45801</v>
      </c>
      <c r="D14" t="inlineStr">
        <is>
          <t>VÄSTRA GÖTALANDS LÄN</t>
        </is>
      </c>
      <c r="E14" t="inlineStr">
        <is>
          <t>LILLA EDET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Loppstarr
Dvärghäxört</t>
        </is>
      </c>
      <c r="S14">
        <f>HYPERLINK("https://klasma.github.io/Logging_1462/artfynd/A 12617-2023 artfynd.xlsx", "A 12617-2023")</f>
        <v/>
      </c>
      <c r="T14">
        <f>HYPERLINK("https://klasma.github.io/Logging_1462/kartor/A 12617-2023 karta.png", "A 12617-2023")</f>
        <v/>
      </c>
      <c r="V14">
        <f>HYPERLINK("https://klasma.github.io/Logging_1462/klagomål/A 12617-2023 FSC-klagomål.docx", "A 12617-2023")</f>
        <v/>
      </c>
      <c r="W14">
        <f>HYPERLINK("https://klasma.github.io/Logging_1462/klagomålsmail/A 12617-2023 FSC-klagomål mail.docx", "A 12617-2023")</f>
        <v/>
      </c>
      <c r="X14">
        <f>HYPERLINK("https://klasma.github.io/Logging_1462/tillsyn/A 12617-2023 tillsynsbegäran.docx", "A 12617-2023")</f>
        <v/>
      </c>
      <c r="Y14">
        <f>HYPERLINK("https://klasma.github.io/Logging_1462/tillsynsmail/A 12617-2023 tillsynsbegäran mail.docx", "A 12617-2023")</f>
        <v/>
      </c>
    </row>
    <row r="15" ht="15" customHeight="1">
      <c r="A15" t="inlineStr">
        <is>
          <t>A 434-2024</t>
        </is>
      </c>
      <c r="B15" s="1" t="n">
        <v>45296</v>
      </c>
      <c r="C15" s="1" t="n">
        <v>45801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8448-2024</t>
        </is>
      </c>
      <c r="B16" s="1" t="n">
        <v>45354</v>
      </c>
      <c r="C16" s="1" t="n">
        <v>45801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8448-2024 artfynd.xlsx", "A 8448-2024")</f>
        <v/>
      </c>
      <c r="T16">
        <f>HYPERLINK("https://klasma.github.io/Logging_1462/kartor/A 8448-2024 karta.png", "A 8448-2024")</f>
        <v/>
      </c>
      <c r="V16">
        <f>HYPERLINK("https://klasma.github.io/Logging_1462/klagomål/A 8448-2024 FSC-klagomål.docx", "A 8448-2024")</f>
        <v/>
      </c>
      <c r="W16">
        <f>HYPERLINK("https://klasma.github.io/Logging_1462/klagomålsmail/A 8448-2024 FSC-klagomål mail.docx", "A 8448-2024")</f>
        <v/>
      </c>
      <c r="X16">
        <f>HYPERLINK("https://klasma.github.io/Logging_1462/tillsyn/A 8448-2024 tillsynsbegäran.docx", "A 8448-2024")</f>
        <v/>
      </c>
      <c r="Y16">
        <f>HYPERLINK("https://klasma.github.io/Logging_1462/tillsynsmail/A 8448-2024 tillsynsbegäran mail.docx", "A 8448-2024")</f>
        <v/>
      </c>
    </row>
    <row r="17" ht="15" customHeight="1">
      <c r="A17" t="inlineStr">
        <is>
          <t>A 11312-2020</t>
        </is>
      </c>
      <c r="B17" s="1" t="n">
        <v>43892</v>
      </c>
      <c r="C17" s="1" t="n">
        <v>45801</v>
      </c>
      <c r="D17" t="inlineStr">
        <is>
          <t>VÄSTRA GÖTALANDS LÄN</t>
        </is>
      </c>
      <c r="E17" t="inlineStr">
        <is>
          <t>LILLA EDET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HYPERLINK("https://klasma.github.io/Logging_1462/artfynd/A 11312-2020 artfynd.xlsx", "A 11312-2020")</f>
        <v/>
      </c>
      <c r="T17">
        <f>HYPERLINK("https://klasma.github.io/Logging_1462/kartor/A 11312-2020 karta.png", "A 11312-2020")</f>
        <v/>
      </c>
      <c r="V17">
        <f>HYPERLINK("https://klasma.github.io/Logging_1462/klagomål/A 11312-2020 FSC-klagomål.docx", "A 11312-2020")</f>
        <v/>
      </c>
      <c r="W17">
        <f>HYPERLINK("https://klasma.github.io/Logging_1462/klagomålsmail/A 11312-2020 FSC-klagomål mail.docx", "A 11312-2020")</f>
        <v/>
      </c>
      <c r="X17">
        <f>HYPERLINK("https://klasma.github.io/Logging_1462/tillsyn/A 11312-2020 tillsynsbegäran.docx", "A 11312-2020")</f>
        <v/>
      </c>
      <c r="Y17">
        <f>HYPERLINK("https://klasma.github.io/Logging_1462/tillsynsmail/A 11312-2020 tillsynsbegäran mail.docx", "A 11312-2020")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45801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45801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45801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45801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45801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45801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45801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45801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45801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45801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45801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45801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45801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45801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45801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45801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45801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45801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45801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45801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45801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45801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45801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45801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45801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45801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45801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45801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45801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45801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45801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45801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45801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45801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45801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45801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45801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45801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45801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45801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45801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45801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45801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45801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45801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45801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45801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45801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45801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45801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45801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45801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45801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45801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45801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45801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45801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45801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45801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45801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45801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45801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45801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45801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45801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45801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45801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45801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45801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45801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45801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45801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45801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45801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45801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45801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45801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45801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45801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45801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45801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45801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45801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45801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45801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45801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45801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45801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45801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45801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45801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45801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45801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45801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45801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45801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45801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45801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45801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45801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45801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45801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45801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45801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45801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45801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45801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45801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45801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45801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45801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45801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45801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45801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45801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45801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45801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45801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45801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45801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45801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45801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45801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45801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45801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45801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45801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45801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45801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45801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45801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45801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45801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45801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45801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45801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45801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45801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45801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45801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45801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45801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45801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45801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45801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45801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45801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45801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45801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45801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45801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45801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45801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45801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45801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45801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45801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45801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45801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45801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45801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45801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45801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45801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45801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45801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45801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45801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45801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45801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45801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45801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45801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45801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45801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45801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45801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45801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45801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45801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45801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45801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45801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45801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45801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45801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45801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45801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45801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45801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45801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45801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45801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45801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45801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45801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45801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45801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45801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45801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45801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45801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45801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45801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45801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45801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45801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45801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45801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45801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45801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45801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45801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45801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45801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45801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45801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45801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45801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45801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45801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45801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45801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45801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45801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45801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45801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45801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45801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45801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45801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45801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45801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45801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45801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45801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45801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45801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45801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45801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45801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45801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45801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45801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45801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45801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45801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45801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45801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45801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45801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45801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45801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45801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45801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45801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45801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45801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45801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45801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45801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45801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45801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45801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45801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45801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45801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45801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45801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45801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45801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45801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45801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45801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45801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45801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45801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45801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45801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45801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45801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45801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45801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45801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45801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45801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45801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45801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45801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45801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45801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45801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45801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45801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45801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45801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45801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45801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45801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45801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45801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45801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45801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45801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45801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45801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2025-05-24T18:23:43Z</dcterms:created>
  <dcterms:modified xmlns:dcterms="http://purl.org/dc/terms/" xmlns:xsi="http://www.w3.org/2001/XMLSchema-instance" xsi:type="dcterms:W3CDTF">2025-05-24T18:23:43Z</dcterms:modified>
</cp:coreProperties>
</file>