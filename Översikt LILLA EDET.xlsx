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46254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46254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46254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46254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46254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46254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46254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46254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46254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46254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46254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46254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46254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46254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46254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9.9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9</v>
      </c>
      <c r="U18" t="n">
        <v>8</v>
      </c>
      <c r="V18" s="2" t="inlineStr">
        <is>
          <t>Knärot
Havstulpanlav
Tjäder</t>
        </is>
      </c>
      <c r="W18">
        <f>HYPERLINK("https://klasma.github.io/Logging_1462/artfynd/A 5834-2026 artfynd.xlsx", "A 5834-2026")</f>
        <v/>
      </c>
      <c r="X18">
        <f>HYPERLINK("https://klasma.github.io/Logging_1462/kartor/A 5834-2026 karta.png", "A 5834-2026")</f>
        <v/>
      </c>
      <c r="Y18">
        <f>HYPERLINK("https://klasma.github.io/Logging_1462/kartor_geotiff/A 5834-2026 georefererad karta.tif", "A 5834-2026")</f>
        <v/>
      </c>
      <c r="Z18">
        <f>HYPERLINK("https://klasma.github.io/Logging_1462/knärot/A 5834-2026 karta knärot.png", "A 5834-2026")</f>
        <v/>
      </c>
      <c r="AA18">
        <f>HYPERLINK("https://klasma.github.io/Logging_1462/klagomål/A 5834-2026 FSC-klagomål.docx", "A 5834-2026")</f>
        <v/>
      </c>
      <c r="AB18">
        <f>HYPERLINK("https://klasma.github.io/Logging_1462/klagomålsmail/A 5834-2026 FSC-klagomål mail.docx", "A 5834-2026")</f>
        <v/>
      </c>
      <c r="AC18">
        <f>HYPERLINK("https://klasma.github.io/Logging_1462/tillsyn/A 5834-2026 tillsynsbegäran.docx", "A 5834-2026")</f>
        <v/>
      </c>
      <c r="AD18">
        <f>HYPERLINK("https://klasma.github.io/Logging_1462/tillsynsmail/A 5834-2026 tillsynsbegäran mail.docx", "A 5834-2026")</f>
        <v/>
      </c>
      <c r="AE18">
        <f>HYPERLINK("https://klasma.github.io/Logging_1462/fåglar/A 5834-2026 prioriterade fågelarter.docx", "A 5834-2026")</f>
        <v/>
      </c>
    </row>
    <row r="19" ht="15" customHeight="1">
      <c r="A19" t="inlineStr">
        <is>
          <t>A 17376-2026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46119</v>
      </c>
      <c r="E19" s="1" t="n">
        <v>46254</v>
      </c>
      <c r="F19" t="inlineStr">
        <is>
          <t>VÄSTRA GÖTALANDS LÄN</t>
        </is>
      </c>
      <c r="G19" t="inlineStr">
        <is>
          <t>LILLA EDET</t>
        </is>
      </c>
      <c r="I19" t="n">
        <v>2.5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Slåttergubbe
Almsnabbvinge
Granspira</t>
        </is>
      </c>
      <c r="W19">
        <f>HYPERLINK("https://klasma.github.io/Logging_1462/artfynd/A 17376-2026 artfynd.xlsx", "A 17376-2026")</f>
        <v/>
      </c>
      <c r="X19">
        <f>HYPERLINK("https://klasma.github.io/Logging_1462/kartor/A 17376-2026 karta.png", "A 17376-2026")</f>
        <v/>
      </c>
      <c r="Y19">
        <f>HYPERLINK("https://klasma.github.io/Logging_1462/kartor_geotiff/A 17376-2026 georefererad karta.tif", "A 17376-2026")</f>
        <v/>
      </c>
      <c r="AA19">
        <f>HYPERLINK("https://klasma.github.io/Logging_1462/klagomål/A 17376-2026 FSC-klagomål.docx", "A 17376-2026")</f>
        <v/>
      </c>
      <c r="AB19">
        <f>HYPERLINK("https://klasma.github.io/Logging_1462/klagomålsmail/A 17376-2026 FSC-klagomål mail.docx", "A 17376-2026")</f>
        <v/>
      </c>
      <c r="AC19">
        <f>HYPERLINK("https://klasma.github.io/Logging_1462/tillsyn/A 17376-2026 tillsynsbegäran.docx", "A 17376-2026")</f>
        <v/>
      </c>
      <c r="AD19">
        <f>HYPERLINK("https://klasma.github.io/Logging_1462/tillsynsmail/A 17376-2026 tillsynsbegäran mail.docx", "A 17376-2026")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46254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46254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46254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46254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5866-2026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46052</v>
      </c>
      <c r="E24" s="1" t="n">
        <v>46254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Sveaskog</t>
        </is>
      </c>
      <c r="I24" t="n">
        <v>3.1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9</v>
      </c>
      <c r="U24" t="n">
        <v>9</v>
      </c>
      <c r="V24" s="2" t="inlineStr">
        <is>
          <t>Spillkråka
Revlummer</t>
        </is>
      </c>
      <c r="W24">
        <f>HYPERLINK("https://klasma.github.io/Logging_1462/artfynd/A 5866-2026 artfynd.xlsx", "A 5866-2026")</f>
        <v/>
      </c>
      <c r="X24">
        <f>HYPERLINK("https://klasma.github.io/Logging_1462/kartor/A 5866-2026 karta.png", "A 5866-2026")</f>
        <v/>
      </c>
      <c r="Y24">
        <f>HYPERLINK("https://klasma.github.io/Logging_1462/kartor_geotiff/A 5866-2026 georefererad karta.tif", "A 5866-2026")</f>
        <v/>
      </c>
      <c r="AA24">
        <f>HYPERLINK("https://klasma.github.io/Logging_1462/klagomål/A 5866-2026 FSC-klagomål.docx", "A 5866-2026")</f>
        <v/>
      </c>
      <c r="AB24">
        <f>HYPERLINK("https://klasma.github.io/Logging_1462/klagomålsmail/A 5866-2026 FSC-klagomål mail.docx", "A 5866-2026")</f>
        <v/>
      </c>
      <c r="AC24">
        <f>HYPERLINK("https://klasma.github.io/Logging_1462/tillsyn/A 5866-2026 tillsynsbegäran.docx", "A 5866-2026")</f>
        <v/>
      </c>
      <c r="AD24">
        <f>HYPERLINK("https://klasma.github.io/Logging_1462/tillsynsmail/A 5866-2026 tillsynsbegäran mail.docx", "A 5866-2026")</f>
        <v/>
      </c>
      <c r="AE24">
        <f>HYPERLINK("https://klasma.github.io/Logging_1462/fåglar/A 5866-2026 prioriterade fågelarter.docx", "A 5866-2026")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46254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46254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46254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41756-2025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45902</v>
      </c>
      <c r="E28" s="1" t="n">
        <v>46254</v>
      </c>
      <c r="F28" t="inlineStr">
        <is>
          <t>VÄSTRA GÖTALANDS LÄN</t>
        </is>
      </c>
      <c r="G28" t="inlineStr">
        <is>
          <t>LILLA EDET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HYPERLINK("https://klasma.github.io/Logging_1462/artfynd/A 41756-2025 artfynd.xlsx", "A 41756-2025")</f>
        <v/>
      </c>
      <c r="X28">
        <f>HYPERLINK("https://klasma.github.io/Logging_1462/kartor/A 41756-2025 karta.png", "A 41756-2025")</f>
        <v/>
      </c>
      <c r="Y28">
        <f>HYPERLINK("https://klasma.github.io/Logging_1462/kartor_geotiff/A 41756-2025 georefererad karta.tif", "A 41756-2025")</f>
        <v/>
      </c>
      <c r="AA28">
        <f>HYPERLINK("https://klasma.github.io/Logging_1462/klagomål/A 41756-2025 FSC-klagomål.docx", "A 41756-2025")</f>
        <v/>
      </c>
      <c r="AB28">
        <f>HYPERLINK("https://klasma.github.io/Logging_1462/klagomålsmail/A 41756-2025 FSC-klagomål mail.docx", "A 41756-2025")</f>
        <v/>
      </c>
      <c r="AC28">
        <f>HYPERLINK("https://klasma.github.io/Logging_1462/tillsyn/A 41756-2025 tillsynsbegäran.docx", "A 41756-2025")</f>
        <v/>
      </c>
      <c r="AD28">
        <f>HYPERLINK("https://klasma.github.io/Logging_1462/tillsynsmail/A 41756-2025 tillsynsbegäran mail.docx", "A 41756-2025")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46254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45941-2025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45924</v>
      </c>
      <c r="E30" s="1" t="n">
        <v>46254</v>
      </c>
      <c r="F30" t="inlineStr">
        <is>
          <t>VÄSTRA GÖTALANDS LÄN</t>
        </is>
      </c>
      <c r="G30" t="inlineStr">
        <is>
          <t>LILLA EDET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HYPERLINK("https://klasma.github.io/Logging_1462/artfynd/A 45941-2025 artfynd.xlsx", "A 45941-2025")</f>
        <v/>
      </c>
      <c r="X30">
        <f>HYPERLINK("https://klasma.github.io/Logging_1462/kartor/A 45941-2025 karta.png", "A 45941-2025")</f>
        <v/>
      </c>
      <c r="Y30">
        <f>HYPERLINK("https://klasma.github.io/Logging_1462/kartor_geotiff/A 45941-2025 georefererad karta.tif", "A 45941-2025")</f>
        <v/>
      </c>
      <c r="AA30">
        <f>HYPERLINK("https://klasma.github.io/Logging_1462/klagomål/A 45941-2025 FSC-klagomål.docx", "A 45941-2025")</f>
        <v/>
      </c>
      <c r="AB30">
        <f>HYPERLINK("https://klasma.github.io/Logging_1462/klagomålsmail/A 45941-2025 FSC-klagomål mail.docx", "A 45941-2025")</f>
        <v/>
      </c>
      <c r="AC30">
        <f>HYPERLINK("https://klasma.github.io/Logging_1462/tillsyn/A 45941-2025 tillsynsbegäran.docx", "A 45941-2025")</f>
        <v/>
      </c>
      <c r="AD30">
        <f>HYPERLINK("https://klasma.github.io/Logging_1462/tillsynsmail/A 45941-2025 tillsynsbegäran mail.docx", "A 45941-2025")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46254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38522-2024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46254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5.3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HYPERLINK("https://klasma.github.io/Logging_1462/artfynd/A 38522-2024 artfynd.xlsx", "A 38522-2024")</f>
        <v/>
      </c>
      <c r="X32">
        <f>HYPERLINK("https://klasma.github.io/Logging_1462/kartor/A 38522-2024 karta.png", "A 38522-2024")</f>
        <v/>
      </c>
      <c r="Y32">
        <f>HYPERLINK("https://klasma.github.io/Logging_1462/kartor_geotiff/A 38522-2024 georefererad karta.tif", "A 38522-2024")</f>
        <v/>
      </c>
      <c r="AA32">
        <f>HYPERLINK("https://klasma.github.io/Logging_1462/klagomål/A 38522-2024 FSC-klagomål.docx", "A 38522-2024")</f>
        <v/>
      </c>
      <c r="AB32">
        <f>HYPERLINK("https://klasma.github.io/Logging_1462/klagomålsmail/A 38522-2024 FSC-klagomål mail.docx", "A 38522-2024")</f>
        <v/>
      </c>
      <c r="AC32">
        <f>HYPERLINK("https://klasma.github.io/Logging_1462/tillsyn/A 38522-2024 tillsynsbegäran.docx", "A 38522-2024")</f>
        <v/>
      </c>
      <c r="AD32">
        <f>HYPERLINK("https://klasma.github.io/Logging_1462/tillsynsmail/A 38522-2024 tillsynsbegäran mail.docx", "A 38522-2024")</f>
        <v/>
      </c>
      <c r="AE32">
        <f>HYPERLINK("https://klasma.github.io/Logging_1462/fåglar/A 38522-2024 prioriterade fågelarter.docx", "A 38522-2024")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46254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46254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46254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46254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46254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46254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46254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46254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46254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46254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46254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46254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46254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46254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46254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46254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46254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46254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46254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46254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46254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46254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46254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46254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46254</v>
      </c>
      <c r="F57" t="inlineStr">
        <is>
          <t>VÄSTRA GÖTALANDS LÄN</t>
        </is>
      </c>
      <c r="G57" t="inlineStr">
        <is>
          <t>LILLA EDET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46254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46254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45646</v>
      </c>
      <c r="E60" s="1" t="n">
        <v>46254</v>
      </c>
      <c r="F60" t="inlineStr">
        <is>
          <t>VÄSTRA GÖTALANDS LÄN</t>
        </is>
      </c>
      <c r="G60" t="inlineStr">
        <is>
          <t>LILLA EDET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46254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46254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46254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46254</v>
      </c>
      <c r="F64" t="inlineStr">
        <is>
          <t>VÄSTRA GÖTALANDS LÄN</t>
        </is>
      </c>
      <c r="G64" t="inlineStr">
        <is>
          <t>LILLA EDET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46254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46254</v>
      </c>
      <c r="F66" t="inlineStr">
        <is>
          <t>VÄSTRA GÖTALANDS LÄN</t>
        </is>
      </c>
      <c r="G66" t="inlineStr">
        <is>
          <t>LILLA EDET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45000</v>
      </c>
      <c r="E67" s="1" t="n">
        <v>46254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46254</v>
      </c>
      <c r="F68" t="inlineStr">
        <is>
          <t>VÄSTRA GÖTALANDS LÄN</t>
        </is>
      </c>
      <c r="G68" t="inlineStr">
        <is>
          <t>LILLA EDET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50349-2024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46254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46001</v>
      </c>
      <c r="E70" s="1" t="n">
        <v>46254</v>
      </c>
      <c r="F70" t="inlineStr">
        <is>
          <t>VÄSTRA GÖTALANDS LÄN</t>
        </is>
      </c>
      <c r="G70" t="inlineStr">
        <is>
          <t>LILLA EDET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46254</v>
      </c>
      <c r="F71" t="inlineStr">
        <is>
          <t>VÄSTRA GÖTALANDS LÄN</t>
        </is>
      </c>
      <c r="G71" t="inlineStr">
        <is>
          <t>LILLA EDET</t>
        </is>
      </c>
      <c r="I71" t="n">
        <v>10.7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46254</v>
      </c>
      <c r="F72" t="inlineStr">
        <is>
          <t>VÄSTRA GÖTALANDS LÄN</t>
        </is>
      </c>
      <c r="G72" t="inlineStr">
        <is>
          <t>LILLA EDET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46254</v>
      </c>
      <c r="F73" t="inlineStr">
        <is>
          <t>VÄSTRA GÖTALANDS LÄN</t>
        </is>
      </c>
      <c r="G73" t="inlineStr">
        <is>
          <t>LILLA EDET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46254</v>
      </c>
      <c r="F74" t="inlineStr">
        <is>
          <t>VÄSTRA GÖTALANDS LÄN</t>
        </is>
      </c>
      <c r="G74" t="inlineStr">
        <is>
          <t>LILLA EDET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45006</v>
      </c>
      <c r="E75" s="1" t="n">
        <v>46254</v>
      </c>
      <c r="F75" t="inlineStr">
        <is>
          <t>VÄSTRA GÖTALANDS LÄN</t>
        </is>
      </c>
      <c r="G75" t="inlineStr">
        <is>
          <t>LILLA EDET</t>
        </is>
      </c>
      <c r="H75" t="inlineStr">
        <is>
          <t>Kommuner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46254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46254</v>
      </c>
      <c r="F77" t="inlineStr">
        <is>
          <t>VÄSTRA GÖTALANDS LÄN</t>
        </is>
      </c>
      <c r="G77" t="inlineStr">
        <is>
          <t>LILLA EDET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16473-2022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44671</v>
      </c>
      <c r="E78" s="1" t="n">
        <v>46254</v>
      </c>
      <c r="F78" t="inlineStr">
        <is>
          <t>VÄSTRA GÖTALANDS LÄN</t>
        </is>
      </c>
      <c r="G78" t="inlineStr">
        <is>
          <t>LILLA EDET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46254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46254</v>
      </c>
      <c r="F80" t="inlineStr">
        <is>
          <t>VÄSTRA GÖTALANDS LÄN</t>
        </is>
      </c>
      <c r="G80" t="inlineStr">
        <is>
          <t>LILLA EDET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46254</v>
      </c>
      <c r="F81" t="inlineStr">
        <is>
          <t>VÄSTRA GÖTALANDS LÄN</t>
        </is>
      </c>
      <c r="G81" t="inlineStr">
        <is>
          <t>LILLA EDET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46254</v>
      </c>
      <c r="F82" t="inlineStr">
        <is>
          <t>VÄSTRA GÖTALANDS LÄN</t>
        </is>
      </c>
      <c r="G82" t="inlineStr">
        <is>
          <t>LILLA EDET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46254</v>
      </c>
      <c r="F83" t="inlineStr">
        <is>
          <t>VÄSTRA GÖTALANDS LÄN</t>
        </is>
      </c>
      <c r="G83" t="inlineStr">
        <is>
          <t>LILLA EDET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46254</v>
      </c>
      <c r="F84" t="inlineStr">
        <is>
          <t>VÄSTRA GÖTALANDS LÄN</t>
        </is>
      </c>
      <c r="G84" t="inlineStr">
        <is>
          <t>LILLA EDET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46254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46254</v>
      </c>
      <c r="F86" t="inlineStr">
        <is>
          <t>VÄSTRA GÖTALANDS LÄN</t>
        </is>
      </c>
      <c r="G86" t="inlineStr">
        <is>
          <t>LILLA EDET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46254</v>
      </c>
      <c r="F87" t="inlineStr">
        <is>
          <t>VÄSTRA GÖTALANDS LÄN</t>
        </is>
      </c>
      <c r="G87" t="inlineStr">
        <is>
          <t>LILLA EDET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46254</v>
      </c>
      <c r="F88" t="inlineStr">
        <is>
          <t>VÄSTRA GÖTALANDS LÄN</t>
        </is>
      </c>
      <c r="G88" t="inlineStr">
        <is>
          <t>LILLA EDET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46254</v>
      </c>
      <c r="F89" t="inlineStr">
        <is>
          <t>VÄSTRA GÖTALANDS LÄN</t>
        </is>
      </c>
      <c r="G89" t="inlineStr">
        <is>
          <t>LILLA EDET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46254</v>
      </c>
      <c r="F90" t="inlineStr">
        <is>
          <t>VÄSTRA GÖTALANDS LÄN</t>
        </is>
      </c>
      <c r="G90" t="inlineStr">
        <is>
          <t>LILLA EDET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46254</v>
      </c>
      <c r="F91" t="inlineStr">
        <is>
          <t>VÄSTRA GÖTALANDS LÄN</t>
        </is>
      </c>
      <c r="G91" t="inlineStr">
        <is>
          <t>LILLA EDET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45295</v>
      </c>
      <c r="E92" s="1" t="n">
        <v>46254</v>
      </c>
      <c r="F92" t="inlineStr">
        <is>
          <t>VÄSTRA GÖTALANDS LÄN</t>
        </is>
      </c>
      <c r="G92" t="inlineStr">
        <is>
          <t>LILLA EDET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23541-2026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46163</v>
      </c>
      <c r="E93" s="1" t="n">
        <v>46254</v>
      </c>
      <c r="F93" t="inlineStr">
        <is>
          <t>VÄSTRA GÖTALANDS LÄN</t>
        </is>
      </c>
      <c r="G93" t="inlineStr">
        <is>
          <t>LILLA EDET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46254</v>
      </c>
      <c r="F94" t="inlineStr">
        <is>
          <t>VÄSTRA GÖTALANDS LÄN</t>
        </is>
      </c>
      <c r="G94" t="inlineStr">
        <is>
          <t>LILLA EDET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45481</v>
      </c>
      <c r="E95" s="1" t="n">
        <v>46254</v>
      </c>
      <c r="F95" t="inlineStr">
        <is>
          <t>VÄSTRA GÖTALANDS LÄN</t>
        </is>
      </c>
      <c r="G95" t="inlineStr">
        <is>
          <t>LILLA EDET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46254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46254</v>
      </c>
      <c r="F97" t="inlineStr">
        <is>
          <t>VÄSTRA GÖTALANDS LÄN</t>
        </is>
      </c>
      <c r="G97" t="inlineStr">
        <is>
          <t>LILLA EDET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46254</v>
      </c>
      <c r="F98" t="inlineStr">
        <is>
          <t>VÄSTRA GÖTALANDS LÄN</t>
        </is>
      </c>
      <c r="G98" t="inlineStr">
        <is>
          <t>LILLA EDET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46254</v>
      </c>
      <c r="F99" t="inlineStr">
        <is>
          <t>VÄSTRA GÖTALANDS LÄN</t>
        </is>
      </c>
      <c r="G99" t="inlineStr">
        <is>
          <t>LILLA EDET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46254</v>
      </c>
      <c r="F100" t="inlineStr">
        <is>
          <t>VÄSTRA GÖTALANDS LÄN</t>
        </is>
      </c>
      <c r="G100" t="inlineStr">
        <is>
          <t>LILLA EDET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46254</v>
      </c>
      <c r="F101" t="inlineStr">
        <is>
          <t>VÄSTRA GÖTALANDS LÄN</t>
        </is>
      </c>
      <c r="G101" t="inlineStr">
        <is>
          <t>LILLA EDET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46254</v>
      </c>
      <c r="F102" t="inlineStr">
        <is>
          <t>VÄSTRA GÖTALANDS LÄN</t>
        </is>
      </c>
      <c r="G102" t="inlineStr">
        <is>
          <t>LILLA EDET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46254</v>
      </c>
      <c r="F103" t="inlineStr">
        <is>
          <t>VÄSTRA GÖTALANDS LÄN</t>
        </is>
      </c>
      <c r="G103" t="inlineStr">
        <is>
          <t>LILLA EDET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44869</v>
      </c>
      <c r="E104" s="1" t="n">
        <v>46254</v>
      </c>
      <c r="F104" t="inlineStr">
        <is>
          <t>VÄSTRA GÖTALANDS LÄN</t>
        </is>
      </c>
      <c r="G104" t="inlineStr">
        <is>
          <t>LILLA EDET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14891-2025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45743</v>
      </c>
      <c r="E105" s="1" t="n">
        <v>46254</v>
      </c>
      <c r="F105" t="inlineStr">
        <is>
          <t>VÄSTRA GÖTALANDS LÄN</t>
        </is>
      </c>
      <c r="G105" t="inlineStr">
        <is>
          <t>LILLA EDET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46254</v>
      </c>
      <c r="F106" t="inlineStr">
        <is>
          <t>VÄSTRA GÖTALANDS LÄN</t>
        </is>
      </c>
      <c r="G106" t="inlineStr">
        <is>
          <t>LILLA EDET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46254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46254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46254</v>
      </c>
      <c r="F109" t="inlineStr">
        <is>
          <t>VÄSTRA GÖTALANDS LÄN</t>
        </is>
      </c>
      <c r="G109" t="inlineStr">
        <is>
          <t>LILLA EDET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45480</v>
      </c>
      <c r="E110" s="1" t="n">
        <v>46254</v>
      </c>
      <c r="F110" t="inlineStr">
        <is>
          <t>VÄSTRA GÖTALANDS LÄN</t>
        </is>
      </c>
      <c r="G110" t="inlineStr">
        <is>
          <t>LILLA EDET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46254</v>
      </c>
      <c r="F111" t="inlineStr">
        <is>
          <t>VÄSTRA GÖTALANDS LÄN</t>
        </is>
      </c>
      <c r="G111" t="inlineStr">
        <is>
          <t>LILLA EDET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46254</v>
      </c>
      <c r="F112" t="inlineStr">
        <is>
          <t>VÄSTRA GÖTALANDS LÄN</t>
        </is>
      </c>
      <c r="G112" t="inlineStr">
        <is>
          <t>LILLA EDET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44915</v>
      </c>
      <c r="E113" s="1" t="n">
        <v>46254</v>
      </c>
      <c r="F113" t="inlineStr">
        <is>
          <t>VÄSTRA GÖTALANDS LÄN</t>
        </is>
      </c>
      <c r="G113" t="inlineStr">
        <is>
          <t>LILLA EDET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46254</v>
      </c>
      <c r="F114" t="inlineStr">
        <is>
          <t>VÄSTRA GÖTALANDS LÄN</t>
        </is>
      </c>
      <c r="G114" t="inlineStr">
        <is>
          <t>LILLA EDET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46254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46254</v>
      </c>
      <c r="F116" t="inlineStr">
        <is>
          <t>VÄSTRA GÖTALANDS LÄN</t>
        </is>
      </c>
      <c r="G116" t="inlineStr">
        <is>
          <t>LILLA EDET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46254</v>
      </c>
      <c r="F117" t="inlineStr">
        <is>
          <t>VÄSTRA GÖTALANDS LÄN</t>
        </is>
      </c>
      <c r="G117" t="inlineStr">
        <is>
          <t>LILLA EDET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46254</v>
      </c>
      <c r="F118" t="inlineStr">
        <is>
          <t>VÄSTRA GÖTALANDS LÄN</t>
        </is>
      </c>
      <c r="G118" t="inlineStr">
        <is>
          <t>LILLA EDET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46254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46254</v>
      </c>
      <c r="F120" t="inlineStr">
        <is>
          <t>VÄSTRA GÖTALANDS LÄN</t>
        </is>
      </c>
      <c r="G120" t="inlineStr">
        <is>
          <t>LILLA EDET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46190</v>
      </c>
      <c r="E121" s="1" t="n">
        <v>46254</v>
      </c>
      <c r="F121" t="inlineStr">
        <is>
          <t>VÄSTRA GÖTALANDS LÄN</t>
        </is>
      </c>
      <c r="G121" t="inlineStr">
        <is>
          <t>LILLA EDET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44883</v>
      </c>
      <c r="E122" s="1" t="n">
        <v>46254</v>
      </c>
      <c r="F122" t="inlineStr">
        <is>
          <t>VÄSTRA GÖTALANDS LÄN</t>
        </is>
      </c>
      <c r="G122" t="inlineStr">
        <is>
          <t>LILLA EDET</t>
        </is>
      </c>
      <c r="I122" t="n">
        <v>22.6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46242</v>
      </c>
      <c r="E123" s="1" t="n">
        <v>46254</v>
      </c>
      <c r="F123" t="inlineStr">
        <is>
          <t>VÄSTRA GÖTALANDS LÄN</t>
        </is>
      </c>
      <c r="G123" t="inlineStr">
        <is>
          <t>LILLA EDET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45225</v>
      </c>
      <c r="E124" s="1" t="n">
        <v>46254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33993-2023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45134</v>
      </c>
      <c r="E125" s="1" t="n">
        <v>46254</v>
      </c>
      <c r="F125" t="inlineStr">
        <is>
          <t>VÄSTRA GÖTALANDS LÄN</t>
        </is>
      </c>
      <c r="G125" t="inlineStr">
        <is>
          <t>LILLA EDET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45134</v>
      </c>
      <c r="E126" s="1" t="n">
        <v>46254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45971</v>
      </c>
      <c r="E127" s="1" t="n">
        <v>46254</v>
      </c>
      <c r="F127" t="inlineStr">
        <is>
          <t>VÄSTRA GÖTALANDS LÄN</t>
        </is>
      </c>
      <c r="G127" t="inlineStr">
        <is>
          <t>LILLA EDET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46254</v>
      </c>
      <c r="F128" t="inlineStr">
        <is>
          <t>VÄSTRA GÖTALANDS LÄN</t>
        </is>
      </c>
      <c r="G128" t="inlineStr">
        <is>
          <t>LILLA EDET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45034</v>
      </c>
      <c r="E129" s="1" t="n">
        <v>46254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46254</v>
      </c>
      <c r="F130" t="inlineStr">
        <is>
          <t>VÄSTRA GÖTALANDS LÄN</t>
        </is>
      </c>
      <c r="G130" t="inlineStr">
        <is>
          <t>LILLA EDET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46254</v>
      </c>
      <c r="F131" t="inlineStr">
        <is>
          <t>VÄSTRA GÖTALANDS LÄN</t>
        </is>
      </c>
      <c r="G131" t="inlineStr">
        <is>
          <t>LILLA EDET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45442</v>
      </c>
      <c r="E132" s="1" t="n">
        <v>46254</v>
      </c>
      <c r="F132" t="inlineStr">
        <is>
          <t>VÄSTRA GÖTALANDS LÄN</t>
        </is>
      </c>
      <c r="G132" t="inlineStr">
        <is>
          <t>LILLA EDET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46254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46210</v>
      </c>
      <c r="E134" s="1" t="n">
        <v>46254</v>
      </c>
      <c r="F134" t="inlineStr">
        <is>
          <t>VÄSTRA GÖTALANDS LÄN</t>
        </is>
      </c>
      <c r="G134" t="inlineStr">
        <is>
          <t>LILLA EDET</t>
        </is>
      </c>
      <c r="I134" t="n">
        <v>10.5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46254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46254</v>
      </c>
      <c r="F136" t="inlineStr">
        <is>
          <t>VÄSTRA GÖTALANDS LÄN</t>
        </is>
      </c>
      <c r="G136" t="inlineStr">
        <is>
          <t>LILLA EDET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46254</v>
      </c>
      <c r="F137" t="inlineStr">
        <is>
          <t>VÄSTRA GÖTALANDS LÄN</t>
        </is>
      </c>
      <c r="G137" t="inlineStr">
        <is>
          <t>LILLA EDET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46254</v>
      </c>
      <c r="F138" t="inlineStr">
        <is>
          <t>VÄSTRA GÖTALANDS LÄN</t>
        </is>
      </c>
      <c r="G138" t="inlineStr">
        <is>
          <t>LILLA EDET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46254</v>
      </c>
      <c r="F139" t="inlineStr">
        <is>
          <t>VÄSTRA GÖTALANDS LÄN</t>
        </is>
      </c>
      <c r="G139" t="inlineStr">
        <is>
          <t>LILLA EDET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45480</v>
      </c>
      <c r="E140" s="1" t="n">
        <v>46254</v>
      </c>
      <c r="F140" t="inlineStr">
        <is>
          <t>VÄSTRA GÖTALANDS LÄN</t>
        </is>
      </c>
      <c r="G140" t="inlineStr">
        <is>
          <t>LILLA EDET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46254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46254</v>
      </c>
      <c r="F142" t="inlineStr">
        <is>
          <t>VÄSTRA GÖTALANDS LÄN</t>
        </is>
      </c>
      <c r="G142" t="inlineStr">
        <is>
          <t>LILLA EDET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45034</v>
      </c>
      <c r="E143" s="1" t="n">
        <v>46254</v>
      </c>
      <c r="F143" t="inlineStr">
        <is>
          <t>VÄSTRA GÖTALANDS LÄN</t>
        </is>
      </c>
      <c r="G143" t="inlineStr">
        <is>
          <t>LILLA EDET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46254</v>
      </c>
      <c r="F144" t="inlineStr">
        <is>
          <t>VÄSTRA GÖTALANDS LÄN</t>
        </is>
      </c>
      <c r="G144" t="inlineStr">
        <is>
          <t>LILLA EDET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45400</v>
      </c>
      <c r="E145" s="1" t="n">
        <v>46254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46254</v>
      </c>
      <c r="F146" t="inlineStr">
        <is>
          <t>VÄSTRA GÖTALANDS LÄN</t>
        </is>
      </c>
      <c r="G146" t="inlineStr">
        <is>
          <t>LILLA EDET</t>
        </is>
      </c>
      <c r="I146" t="n">
        <v>16.4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46254</v>
      </c>
      <c r="F147" t="inlineStr">
        <is>
          <t>VÄSTRA GÖTALANDS LÄN</t>
        </is>
      </c>
      <c r="G147" t="inlineStr">
        <is>
          <t>LILLA EDET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45158</v>
      </c>
      <c r="E148" s="1" t="n">
        <v>46254</v>
      </c>
      <c r="F148" t="inlineStr">
        <is>
          <t>VÄSTRA GÖTALANDS LÄN</t>
        </is>
      </c>
      <c r="G148" t="inlineStr">
        <is>
          <t>LILLA EDET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46254</v>
      </c>
      <c r="F149" t="inlineStr">
        <is>
          <t>VÄSTRA GÖTALANDS LÄN</t>
        </is>
      </c>
      <c r="G149" t="inlineStr">
        <is>
          <t>LILLA EDET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45016</v>
      </c>
      <c r="E150" s="1" t="n">
        <v>46254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17377-2026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46254</v>
      </c>
      <c r="F151" t="inlineStr">
        <is>
          <t>VÄSTRA GÖTALANDS LÄN</t>
        </is>
      </c>
      <c r="G151" t="inlineStr">
        <is>
          <t>LILLA EDET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45213</v>
      </c>
      <c r="E152" s="1" t="n">
        <v>46254</v>
      </c>
      <c r="F152" t="inlineStr">
        <is>
          <t>VÄSTRA GÖTALANDS LÄN</t>
        </is>
      </c>
      <c r="G152" t="inlineStr">
        <is>
          <t>LILLA EDET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46254</v>
      </c>
      <c r="F153" t="inlineStr">
        <is>
          <t>VÄSTRA GÖTALANDS LÄN</t>
        </is>
      </c>
      <c r="G153" t="inlineStr">
        <is>
          <t>LILLA EDET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46129</v>
      </c>
      <c r="E154" s="1" t="n">
        <v>46254</v>
      </c>
      <c r="F154" t="inlineStr">
        <is>
          <t>VÄSTRA GÖTALANDS LÄN</t>
        </is>
      </c>
      <c r="G154" t="inlineStr">
        <is>
          <t>LILLA EDET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46254</v>
      </c>
      <c r="F155" t="inlineStr">
        <is>
          <t>VÄSTRA GÖTALANDS LÄN</t>
        </is>
      </c>
      <c r="G155" t="inlineStr">
        <is>
          <t>LILLA EDET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45692</v>
      </c>
      <c r="E156" s="1" t="n">
        <v>46254</v>
      </c>
      <c r="F156" t="inlineStr">
        <is>
          <t>VÄSTRA GÖTALANDS LÄN</t>
        </is>
      </c>
      <c r="G156" t="inlineStr">
        <is>
          <t>LILLA EDET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45684</v>
      </c>
      <c r="E157" s="1" t="n">
        <v>46254</v>
      </c>
      <c r="F157" t="inlineStr">
        <is>
          <t>VÄSTRA GÖTALANDS LÄN</t>
        </is>
      </c>
      <c r="G157" t="inlineStr">
        <is>
          <t>LILLA EDET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45441</v>
      </c>
      <c r="E158" s="1" t="n">
        <v>46254</v>
      </c>
      <c r="F158" t="inlineStr">
        <is>
          <t>VÄSTRA GÖTALANDS LÄN</t>
        </is>
      </c>
      <c r="G158" t="inlineStr">
        <is>
          <t>LILLA EDET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45766</v>
      </c>
      <c r="E159" s="1" t="n">
        <v>46254</v>
      </c>
      <c r="F159" t="inlineStr">
        <is>
          <t>VÄSTRA GÖTALANDS LÄN</t>
        </is>
      </c>
      <c r="G159" t="inlineStr">
        <is>
          <t>LILLA EDET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45653</v>
      </c>
      <c r="E160" s="1" t="n">
        <v>46254</v>
      </c>
      <c r="F160" t="inlineStr">
        <is>
          <t>VÄSTRA GÖTALANDS LÄN</t>
        </is>
      </c>
      <c r="G160" t="inlineStr">
        <is>
          <t>LILLA EDET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46254</v>
      </c>
      <c r="F161" t="inlineStr">
        <is>
          <t>VÄSTRA GÖTALANDS LÄN</t>
        </is>
      </c>
      <c r="G161" t="inlineStr">
        <is>
          <t>LILLA EDET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45098</v>
      </c>
      <c r="E162" s="1" t="n">
        <v>46254</v>
      </c>
      <c r="F162" t="inlineStr">
        <is>
          <t>VÄSTRA GÖTALANDS LÄN</t>
        </is>
      </c>
      <c r="G162" t="inlineStr">
        <is>
          <t>LILLA EDET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45733</v>
      </c>
      <c r="E163" s="1" t="n">
        <v>46254</v>
      </c>
      <c r="F163" t="inlineStr">
        <is>
          <t>VÄSTRA GÖTALANDS LÄN</t>
        </is>
      </c>
      <c r="G163" t="inlineStr">
        <is>
          <t>LILLA EDET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46254</v>
      </c>
      <c r="F164" t="inlineStr">
        <is>
          <t>VÄSTRA GÖTALANDS LÄN</t>
        </is>
      </c>
      <c r="G164" t="inlineStr">
        <is>
          <t>LILLA EDET</t>
        </is>
      </c>
      <c r="I164" t="n">
        <v>10.2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44889</v>
      </c>
      <c r="E165" s="1" t="n">
        <v>46254</v>
      </c>
      <c r="F165" t="inlineStr">
        <is>
          <t>VÄSTRA GÖTALANDS LÄN</t>
        </is>
      </c>
      <c r="G165" t="inlineStr">
        <is>
          <t>LILLA EDET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45496</v>
      </c>
      <c r="E166" s="1" t="n">
        <v>46254</v>
      </c>
      <c r="F166" t="inlineStr">
        <is>
          <t>VÄSTRA GÖTALANDS LÄN</t>
        </is>
      </c>
      <c r="G166" t="inlineStr">
        <is>
          <t>LILLA EDET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46254</v>
      </c>
      <c r="F167" t="inlineStr">
        <is>
          <t>VÄSTRA GÖTALANDS LÄN</t>
        </is>
      </c>
      <c r="G167" t="inlineStr">
        <is>
          <t>LILLA EDET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46254</v>
      </c>
      <c r="F168" t="inlineStr">
        <is>
          <t>VÄSTRA GÖTALANDS LÄN</t>
        </is>
      </c>
      <c r="G168" t="inlineStr">
        <is>
          <t>LILLA EDET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46254</v>
      </c>
      <c r="F169" t="inlineStr">
        <is>
          <t>VÄSTRA GÖTALANDS LÄN</t>
        </is>
      </c>
      <c r="G169" t="inlineStr">
        <is>
          <t>LILLA EDET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45796</v>
      </c>
      <c r="E170" s="1" t="n">
        <v>46254</v>
      </c>
      <c r="F170" t="inlineStr">
        <is>
          <t>VÄSTRA GÖTALANDS LÄN</t>
        </is>
      </c>
      <c r="G170" t="inlineStr">
        <is>
          <t>LILLA EDET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46254</v>
      </c>
      <c r="F171" t="inlineStr">
        <is>
          <t>VÄSTRA GÖTALANDS LÄN</t>
        </is>
      </c>
      <c r="G171" t="inlineStr">
        <is>
          <t>LILLA EDET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46254</v>
      </c>
      <c r="F172" t="inlineStr">
        <is>
          <t>VÄSTRA GÖTALANDS LÄN</t>
        </is>
      </c>
      <c r="G172" t="inlineStr">
        <is>
          <t>LILLA EDET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46254</v>
      </c>
      <c r="F173" t="inlineStr">
        <is>
          <t>VÄSTRA GÖTALANDS LÄN</t>
        </is>
      </c>
      <c r="G173" t="inlineStr">
        <is>
          <t>LILLA EDET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46254</v>
      </c>
      <c r="F174" t="inlineStr">
        <is>
          <t>VÄSTRA GÖTALANDS LÄN</t>
        </is>
      </c>
      <c r="G174" t="inlineStr">
        <is>
          <t>LILLA EDET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46254</v>
      </c>
      <c r="F175" t="inlineStr">
        <is>
          <t>VÄSTRA GÖTALANDS LÄN</t>
        </is>
      </c>
      <c r="G175" t="inlineStr">
        <is>
          <t>LILLA EDET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46254</v>
      </c>
      <c r="F176" t="inlineStr">
        <is>
          <t>VÄSTRA GÖTALANDS LÄN</t>
        </is>
      </c>
      <c r="G176" t="inlineStr">
        <is>
          <t>LILLA EDET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45855</v>
      </c>
      <c r="E177" s="1" t="n">
        <v>46254</v>
      </c>
      <c r="F177" t="inlineStr">
        <is>
          <t>VÄSTRA GÖTALANDS LÄN</t>
        </is>
      </c>
      <c r="G177" t="inlineStr">
        <is>
          <t>LILLA EDET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45860</v>
      </c>
      <c r="E178" s="1" t="n">
        <v>46254</v>
      </c>
      <c r="F178" t="inlineStr">
        <is>
          <t>VÄSTRA GÖTALANDS LÄN</t>
        </is>
      </c>
      <c r="G178" t="inlineStr">
        <is>
          <t>LILLA EDET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45733</v>
      </c>
      <c r="E179" s="1" t="n">
        <v>46254</v>
      </c>
      <c r="F179" t="inlineStr">
        <is>
          <t>VÄSTRA GÖTALANDS LÄN</t>
        </is>
      </c>
      <c r="G179" t="inlineStr">
        <is>
          <t>LILLA EDET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46254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2026-08-20T01:50:03Z</dcterms:created>
  <dcterms:modified xmlns:dcterms="http://purl.org/dc/terms/" xmlns:xsi="http://www.w3.org/2001/XMLSchema-instance" xsi:type="dcterms:W3CDTF">2026-08-20T01:50:03Z</dcterms:modified>
</cp:coreProperties>
</file>