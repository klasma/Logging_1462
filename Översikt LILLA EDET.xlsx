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46286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46286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46286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46286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46286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46286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46286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46286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46286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46286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46286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43771-2023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46286</v>
      </c>
      <c r="F13" t="inlineStr">
        <is>
          <t>VÄSTRA GÖTALANDS LÄN</t>
        </is>
      </c>
      <c r="G13" t="inlineStr">
        <is>
          <t>LILLA EDET</t>
        </is>
      </c>
      <c r="I13" t="n">
        <v>1.7</v>
      </c>
      <c r="J13" t="n">
        <v>1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Ask
Slåtterfibbla
Vätteros
Blåsippa</t>
        </is>
      </c>
      <c r="W13">
        <f>HYPERLINK("https://klasma.github.io/Logging_1462/artfynd/A 43771-2023 artfynd.xlsx", "A 43771-2023")</f>
        <v/>
      </c>
      <c r="X13">
        <f>HYPERLINK("https://klasma.github.io/Logging_1462/kartor/A 43771-2023 karta.png", "A 43771-2023")</f>
        <v/>
      </c>
      <c r="Y13">
        <f>HYPERLINK("https://klasma.github.io/Logging_1462/kartor_geotiff/A 43771-2023 georefererad karta.tif", "A 43771-2023")</f>
        <v/>
      </c>
      <c r="AA13">
        <f>HYPERLINK("https://klasma.github.io/Logging_1462/klagomål/A 43771-2023 FSC-klagomål.docx", "A 43771-2023")</f>
        <v/>
      </c>
      <c r="AB13">
        <f>HYPERLINK("https://klasma.github.io/Logging_1462/klagomålsmail/A 43771-2023 FSC-klagomål mail.docx", "A 43771-2023")</f>
        <v/>
      </c>
      <c r="AC13">
        <f>HYPERLINK("https://klasma.github.io/Logging_1462/tillsyn/A 43771-2023 tillsynsbegäran.docx", "A 43771-2023")</f>
        <v/>
      </c>
      <c r="AD13">
        <f>HYPERLINK("https://klasma.github.io/Logging_1462/tillsynsmail/A 43771-2023 tillsynsbegäran mail.docx", "A 43771-2023")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46286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46286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46286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46286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46286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23494-2023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46286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Spillkråka
Revlummer</t>
        </is>
      </c>
      <c r="W19">
        <f>HYPERLINK("https://klasma.github.io/Logging_1462/artfynd/A 23494-2023 artfynd.xlsx", "A 23494-2023")</f>
        <v/>
      </c>
      <c r="X19">
        <f>HYPERLINK("https://klasma.github.io/Logging_1462/kartor/A 23494-2023 karta.png", "A 23494-2023")</f>
        <v/>
      </c>
      <c r="Y19">
        <f>HYPERLINK("https://klasma.github.io/Logging_1462/kartor_geotiff/A 23494-2023 georefererad karta.tif", "A 23494-2023")</f>
        <v/>
      </c>
      <c r="AA19">
        <f>HYPERLINK("https://klasma.github.io/Logging_1462/klagomål/A 23494-2023 FSC-klagomål.docx", "A 23494-2023")</f>
        <v/>
      </c>
      <c r="AB19">
        <f>HYPERLINK("https://klasma.github.io/Logging_1462/klagomålsmail/A 23494-2023 FSC-klagomål mail.docx", "A 23494-2023")</f>
        <v/>
      </c>
      <c r="AC19">
        <f>HYPERLINK("https://klasma.github.io/Logging_1462/tillsyn/A 23494-2023 tillsynsbegäran.docx", "A 23494-2023")</f>
        <v/>
      </c>
      <c r="AD19">
        <f>HYPERLINK("https://klasma.github.io/Logging_1462/tillsynsmail/A 23494-2023 tillsynsbegäran mail.docx", "A 23494-2023")</f>
        <v/>
      </c>
      <c r="AE19">
        <f>HYPERLINK("https://klasma.github.io/Logging_1462/fåglar/A 23494-2023 prioriterade fågelarter.docx", "A 23494-2023")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46286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46286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0</v>
      </c>
      <c r="V21" s="2" t="inlineStr">
        <is>
          <t>Västlig hakmossa
Spillkråka</t>
        </is>
      </c>
      <c r="W21">
        <f>HYPERLINK("https://klasma.github.io/Logging_1462/artfynd/A 13699-2024 artfynd.xlsx", "A 13699-2024")</f>
        <v/>
      </c>
      <c r="X21">
        <f>HYPERLINK("https://klasma.github.io/Logging_1462/kartor/A 13699-2024 karta.png", "A 13699-2024")</f>
        <v/>
      </c>
      <c r="Y21">
        <f>HYPERLINK("https://klasma.github.io/Logging_1462/kartor_geotiff/A 13699-2024 georefererad karta.tif", "A 13699-2024")</f>
        <v/>
      </c>
      <c r="AA21">
        <f>HYPERLINK("https://klasma.github.io/Logging_1462/klagomål/A 13699-2024 FSC-klagomål.docx", "A 13699-2024")</f>
        <v/>
      </c>
      <c r="AB21">
        <f>HYPERLINK("https://klasma.github.io/Logging_1462/klagomålsmail/A 13699-2024 FSC-klagomål mail.docx", "A 13699-2024")</f>
        <v/>
      </c>
      <c r="AC21">
        <f>HYPERLINK("https://klasma.github.io/Logging_1462/tillsyn/A 13699-2024 tillsynsbegäran.docx", "A 13699-2024")</f>
        <v/>
      </c>
      <c r="AD21">
        <f>HYPERLINK("https://klasma.github.io/Logging_1462/tillsynsmail/A 13699-2024 tillsynsbegäran mail.docx", "A 13699-2024")</f>
        <v/>
      </c>
      <c r="AE21">
        <f>HYPERLINK("https://klasma.github.io/Logging_1462/fåglar/A 13699-2024 prioriterade fågelarter.docx", "A 13699-2024")</f>
        <v/>
      </c>
    </row>
    <row r="22" ht="15" customHeight="1">
      <c r="A22" t="inlineStr">
        <is>
          <t>A 32690-2026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46240</v>
      </c>
      <c r="E22" s="1" t="n">
        <v>46286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4.6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Skirmossa
Dunmossa</t>
        </is>
      </c>
      <c r="W22">
        <f>HYPERLINK("https://klasma.github.io/Logging_1462/artfynd/A 32690-2026 artfynd.xlsx", "A 32690-2026")</f>
        <v/>
      </c>
      <c r="X22">
        <f>HYPERLINK("https://klasma.github.io/Logging_1462/kartor/A 32690-2026 karta.png", "A 32690-2026")</f>
        <v/>
      </c>
      <c r="Y22">
        <f>HYPERLINK("https://klasma.github.io/Logging_1462/kartor_geotiff/A 32690-2026 georefererad karta.tif", "A 32690-2026")</f>
        <v/>
      </c>
      <c r="AA22">
        <f>HYPERLINK("https://klasma.github.io/Logging_1462/klagomål/A 32690-2026 FSC-klagomål.docx", "A 32690-2026")</f>
        <v/>
      </c>
      <c r="AB22">
        <f>HYPERLINK("https://klasma.github.io/Logging_1462/klagomålsmail/A 32690-2026 FSC-klagomål mail.docx", "A 32690-2026")</f>
        <v/>
      </c>
      <c r="AC22">
        <f>HYPERLINK("https://klasma.github.io/Logging_1462/tillsyn/A 32690-2026 tillsynsbegäran.docx", "A 32690-2026")</f>
        <v/>
      </c>
      <c r="AD22">
        <f>HYPERLINK("https://klasma.github.io/Logging_1462/tillsynsmail/A 32690-2026 tillsynsbegäran mail.docx", "A 32690-2026")</f>
        <v/>
      </c>
    </row>
    <row r="23" ht="15" customHeight="1">
      <c r="A23" t="inlineStr">
        <is>
          <t>A 49384-2023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45205</v>
      </c>
      <c r="E23" s="1" t="n">
        <v>46286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Kattfotslav</t>
        </is>
      </c>
      <c r="W23">
        <f>HYPERLINK("https://klasma.github.io/Logging_1462/artfynd/A 49384-2023 artfynd.xlsx", "A 49384-2023")</f>
        <v/>
      </c>
      <c r="X23">
        <f>HYPERLINK("https://klasma.github.io/Logging_1462/kartor/A 49384-2023 karta.png", "A 49384-2023")</f>
        <v/>
      </c>
      <c r="Y23">
        <f>HYPERLINK("https://klasma.github.io/Logging_1462/kartor_geotiff/A 49384-2023 georefererad karta.tif", "A 49384-2023")</f>
        <v/>
      </c>
      <c r="AA23">
        <f>HYPERLINK("https://klasma.github.io/Logging_1462/klagomål/A 49384-2023 FSC-klagomål.docx", "A 49384-2023")</f>
        <v/>
      </c>
      <c r="AB23">
        <f>HYPERLINK("https://klasma.github.io/Logging_1462/klagomålsmail/A 49384-2023 FSC-klagomål mail.docx", "A 49384-2023")</f>
        <v/>
      </c>
      <c r="AC23">
        <f>HYPERLINK("https://klasma.github.io/Logging_1462/tillsyn/A 49384-2023 tillsynsbegäran.docx", "A 49384-2023")</f>
        <v/>
      </c>
      <c r="AD23">
        <f>HYPERLINK("https://klasma.github.io/Logging_1462/tillsynsmail/A 49384-2023 tillsynsbegäran mail.docx", "A 49384-2023")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46286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38522-2024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45546</v>
      </c>
      <c r="E25" s="1" t="n">
        <v>46286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5.3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HYPERLINK("https://klasma.github.io/Logging_1462/artfynd/A 38522-2024 artfynd.xlsx", "A 38522-2024")</f>
        <v/>
      </c>
      <c r="X25">
        <f>HYPERLINK("https://klasma.github.io/Logging_1462/kartor/A 38522-2024 karta.png", "A 38522-2024")</f>
        <v/>
      </c>
      <c r="Y25">
        <f>HYPERLINK("https://klasma.github.io/Logging_1462/kartor_geotiff/A 38522-2024 georefererad karta.tif", "A 38522-2024")</f>
        <v/>
      </c>
      <c r="AA25">
        <f>HYPERLINK("https://klasma.github.io/Logging_1462/klagomål/A 38522-2024 FSC-klagomål.docx", "A 38522-2024")</f>
        <v/>
      </c>
      <c r="AB25">
        <f>HYPERLINK("https://klasma.github.io/Logging_1462/klagomålsmail/A 38522-2024 FSC-klagomål mail.docx", "A 38522-2024")</f>
        <v/>
      </c>
      <c r="AC25">
        <f>HYPERLINK("https://klasma.github.io/Logging_1462/tillsyn/A 38522-2024 tillsynsbegäran.docx", "A 38522-2024")</f>
        <v/>
      </c>
      <c r="AD25">
        <f>HYPERLINK("https://klasma.github.io/Logging_1462/tillsynsmail/A 38522-2024 tillsynsbegäran mail.docx", "A 38522-2024")</f>
        <v/>
      </c>
      <c r="AE25">
        <f>HYPERLINK("https://klasma.github.io/Logging_1462/fåglar/A 38522-2024 prioriterade fågelarter.docx", "A 38522-2024")</f>
        <v/>
      </c>
    </row>
    <row r="26" ht="15" customHeight="1">
      <c r="A26" t="inlineStr">
        <is>
          <t>A 11102-2024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46286</v>
      </c>
      <c r="F26" t="inlineStr">
        <is>
          <t>VÄSTRA GÖTALANDS LÄN</t>
        </is>
      </c>
      <c r="G26" t="inlineStr">
        <is>
          <t>LILLA EDET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HYPERLINK("https://klasma.github.io/Logging_1462/artfynd/A 11102-2024 artfynd.xlsx", "A 11102-2024")</f>
        <v/>
      </c>
      <c r="X26">
        <f>HYPERLINK("https://klasma.github.io/Logging_1462/kartor/A 11102-2024 karta.png", "A 11102-2024")</f>
        <v/>
      </c>
      <c r="Y26">
        <f>HYPERLINK("https://klasma.github.io/Logging_1462/kartor_geotiff/A 11102-2024 georefererad karta.tif", "A 11102-2024")</f>
        <v/>
      </c>
      <c r="AA26">
        <f>HYPERLINK("https://klasma.github.io/Logging_1462/klagomål/A 11102-2024 FSC-klagomål.docx", "A 11102-2024")</f>
        <v/>
      </c>
      <c r="AB26">
        <f>HYPERLINK("https://klasma.github.io/Logging_1462/klagomålsmail/A 11102-2024 FSC-klagomål mail.docx", "A 11102-2024")</f>
        <v/>
      </c>
      <c r="AC26">
        <f>HYPERLINK("https://klasma.github.io/Logging_1462/tillsyn/A 11102-2024 tillsynsbegäran.docx", "A 11102-2024")</f>
        <v/>
      </c>
      <c r="AD26">
        <f>HYPERLINK("https://klasma.github.io/Logging_1462/tillsynsmail/A 11102-2024 tillsynsbegäran mail.docx", "A 11102-2024")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46286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46286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46286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46286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46286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46286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46286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46286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46286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46286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46286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46286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46286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46286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46286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46286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46286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46286</v>
      </c>
      <c r="F44" t="inlineStr">
        <is>
          <t>VÄSTRA GÖTALANDS LÄN</t>
        </is>
      </c>
      <c r="G44" t="inlineStr">
        <is>
          <t>LILLA EDET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38059-2022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44811</v>
      </c>
      <c r="E45" s="1" t="n">
        <v>46286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46286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46286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46286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44627</v>
      </c>
      <c r="E49" s="1" t="n">
        <v>46286</v>
      </c>
      <c r="F49" t="inlineStr">
        <is>
          <t>VÄSTRA GÖTALANDS LÄN</t>
        </is>
      </c>
      <c r="G49" t="inlineStr">
        <is>
          <t>LILLA EDET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58750-2021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46286</v>
      </c>
      <c r="F50" t="inlineStr">
        <is>
          <t>VÄSTRA GÖTALANDS LÄN</t>
        </is>
      </c>
      <c r="G50" t="inlineStr">
        <is>
          <t>LILLA EDET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46286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45329</v>
      </c>
      <c r="E52" s="1" t="n">
        <v>46286</v>
      </c>
      <c r="F52" t="inlineStr">
        <is>
          <t>VÄSTRA GÖTALANDS LÄN</t>
        </is>
      </c>
      <c r="G52" t="inlineStr">
        <is>
          <t>LILLA EDET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26443-2023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45092</v>
      </c>
      <c r="E53" s="1" t="n">
        <v>46286</v>
      </c>
      <c r="F53" t="inlineStr">
        <is>
          <t>VÄSTRA GÖTALANDS LÄN</t>
        </is>
      </c>
      <c r="G53" t="inlineStr">
        <is>
          <t>LILLA EDET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45187</v>
      </c>
      <c r="E54" s="1" t="n">
        <v>46286</v>
      </c>
      <c r="F54" t="inlineStr">
        <is>
          <t>VÄSTRA GÖTALANDS LÄN</t>
        </is>
      </c>
      <c r="G54" t="inlineStr">
        <is>
          <t>LILLA EDET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46286</v>
      </c>
      <c r="F55" t="inlineStr">
        <is>
          <t>VÄSTRA GÖTALANDS LÄN</t>
        </is>
      </c>
      <c r="G55" t="inlineStr">
        <is>
          <t>LILLA EDET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45296</v>
      </c>
      <c r="E56" s="1" t="n">
        <v>46286</v>
      </c>
      <c r="F56" t="inlineStr">
        <is>
          <t>VÄSTRA GÖTALANDS LÄN</t>
        </is>
      </c>
      <c r="G56" t="inlineStr">
        <is>
          <t>LILLA EDET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61435-2024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46286</v>
      </c>
      <c r="F57" t="inlineStr">
        <is>
          <t>VÄSTRA GÖTALANDS LÄN</t>
        </is>
      </c>
      <c r="G57" t="inlineStr">
        <is>
          <t>LILLA EDET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45693</v>
      </c>
      <c r="E58" s="1" t="n">
        <v>46286</v>
      </c>
      <c r="F58" t="inlineStr">
        <is>
          <t>VÄSTRA GÖTALANDS LÄN</t>
        </is>
      </c>
      <c r="G58" t="inlineStr">
        <is>
          <t>LILLA EDET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37063-2024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45539</v>
      </c>
      <c r="E59" s="1" t="n">
        <v>46286</v>
      </c>
      <c r="F59" t="inlineStr">
        <is>
          <t>VÄSTRA GÖTALANDS LÄN</t>
        </is>
      </c>
      <c r="G59" t="inlineStr">
        <is>
          <t>LILLA EDET</t>
        </is>
      </c>
      <c r="I59" t="n">
        <v>8.800000000000001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45664</v>
      </c>
      <c r="E60" s="1" t="n">
        <v>46286</v>
      </c>
      <c r="F60" t="inlineStr">
        <is>
          <t>VÄSTRA GÖTALANDS LÄN</t>
        </is>
      </c>
      <c r="G60" t="inlineStr">
        <is>
          <t>LILLA EDET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45000</v>
      </c>
      <c r="E61" s="1" t="n">
        <v>46286</v>
      </c>
      <c r="F61" t="inlineStr">
        <is>
          <t>VÄSTRA GÖTALANDS LÄN</t>
        </is>
      </c>
      <c r="G61" t="inlineStr">
        <is>
          <t>LILLA EDET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65619-2021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46286</v>
      </c>
      <c r="F62" t="inlineStr">
        <is>
          <t>VÄSTRA GÖTALANDS LÄN</t>
        </is>
      </c>
      <c r="G62" t="inlineStr">
        <is>
          <t>LILLA EDET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45587</v>
      </c>
      <c r="E63" s="1" t="n">
        <v>46286</v>
      </c>
      <c r="F63" t="inlineStr">
        <is>
          <t>VÄSTRA GÖTALANDS LÄN</t>
        </is>
      </c>
      <c r="G63" t="inlineStr">
        <is>
          <t>LILLA EDET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46286</v>
      </c>
      <c r="F64" t="inlineStr">
        <is>
          <t>VÄSTRA GÖTALANDS LÄN</t>
        </is>
      </c>
      <c r="G64" t="inlineStr">
        <is>
          <t>LILLA EDET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12647-2023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46286</v>
      </c>
      <c r="F65" t="inlineStr">
        <is>
          <t>VÄSTRA GÖTALANDS LÄN</t>
        </is>
      </c>
      <c r="G65" t="inlineStr">
        <is>
          <t>LILLA EDET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8117-2023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46286</v>
      </c>
      <c r="F66" t="inlineStr">
        <is>
          <t>VÄSTRA GÖTALANDS LÄN</t>
        </is>
      </c>
      <c r="G66" t="inlineStr">
        <is>
          <t>LILLA EDET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45766</v>
      </c>
      <c r="E67" s="1" t="n">
        <v>46286</v>
      </c>
      <c r="F67" t="inlineStr">
        <is>
          <t>VÄSTRA GÖTALANDS LÄN</t>
        </is>
      </c>
      <c r="G67" t="inlineStr">
        <is>
          <t>LILLA EDET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45653</v>
      </c>
      <c r="E68" s="1" t="n">
        <v>46286</v>
      </c>
      <c r="F68" t="inlineStr">
        <is>
          <t>VÄSTRA GÖTALANDS LÄN</t>
        </is>
      </c>
      <c r="G68" t="inlineStr">
        <is>
          <t>LILLA EDET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45098</v>
      </c>
      <c r="E69" s="1" t="n">
        <v>46286</v>
      </c>
      <c r="F69" t="inlineStr">
        <is>
          <t>VÄSTRA GÖTALANDS LÄN</t>
        </is>
      </c>
      <c r="G69" t="inlineStr">
        <is>
          <t>LILLA EDET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55972-2022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44889</v>
      </c>
      <c r="E70" s="1" t="n">
        <v>46286</v>
      </c>
      <c r="F70" t="inlineStr">
        <is>
          <t>VÄSTRA GÖTALANDS LÄN</t>
        </is>
      </c>
      <c r="G70" t="inlineStr">
        <is>
          <t>LILLA EDET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45600</v>
      </c>
      <c r="E71" s="1" t="n">
        <v>46286</v>
      </c>
      <c r="F71" t="inlineStr">
        <is>
          <t>VÄSTRA GÖTALANDS LÄN</t>
        </is>
      </c>
      <c r="G71" t="inlineStr">
        <is>
          <t>LILLA EDET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45677</v>
      </c>
      <c r="E72" s="1" t="n">
        <v>46286</v>
      </c>
      <c r="F72" t="inlineStr">
        <is>
          <t>VÄSTRA GÖTALANDS LÄN</t>
        </is>
      </c>
      <c r="G72" t="inlineStr">
        <is>
          <t>LILLA EDET</t>
        </is>
      </c>
      <c r="I72" t="n">
        <v>10.7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45855</v>
      </c>
      <c r="E73" s="1" t="n">
        <v>46286</v>
      </c>
      <c r="F73" t="inlineStr">
        <is>
          <t>VÄSTRA GÖTALANDS LÄN</t>
        </is>
      </c>
      <c r="G73" t="inlineStr">
        <is>
          <t>LILLA EDET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7912-2024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46286</v>
      </c>
      <c r="F74" t="inlineStr">
        <is>
          <t>VÄSTRA GÖTALANDS LÄN</t>
        </is>
      </c>
      <c r="G74" t="inlineStr">
        <is>
          <t>LILLA EDET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61475-2025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46001</v>
      </c>
      <c r="E75" s="1" t="n">
        <v>46286</v>
      </c>
      <c r="F75" t="inlineStr">
        <is>
          <t>VÄSTRA GÖTALANDS LÄN</t>
        </is>
      </c>
      <c r="G75" t="inlineStr">
        <is>
          <t>LILLA EDET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46286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45006</v>
      </c>
      <c r="E77" s="1" t="n">
        <v>46286</v>
      </c>
      <c r="F77" t="inlineStr">
        <is>
          <t>VÄSTRA GÖTALANDS LÄN</t>
        </is>
      </c>
      <c r="G77" t="inlineStr">
        <is>
          <t>LILLA EDET</t>
        </is>
      </c>
      <c r="H77" t="inlineStr">
        <is>
          <t>Kommuner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46286</v>
      </c>
      <c r="F78" t="inlineStr">
        <is>
          <t>VÄSTRA GÖTALANDS LÄN</t>
        </is>
      </c>
      <c r="G78" t="inlineStr">
        <is>
          <t>LILLA EDET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46286</v>
      </c>
      <c r="F79" t="inlineStr">
        <is>
          <t>VÄSTRA GÖTALANDS LÄN</t>
        </is>
      </c>
      <c r="G79" t="inlineStr">
        <is>
          <t>LILLA EDET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41761-2025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46286</v>
      </c>
      <c r="F80" t="inlineStr">
        <is>
          <t>VÄSTRA GÖTALANDS LÄN</t>
        </is>
      </c>
      <c r="G80" t="inlineStr">
        <is>
          <t>LILLA EDET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46286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45855</v>
      </c>
      <c r="E82" s="1" t="n">
        <v>46286</v>
      </c>
      <c r="F82" t="inlineStr">
        <is>
          <t>VÄSTRA GÖTALANDS LÄN</t>
        </is>
      </c>
      <c r="G82" t="inlineStr">
        <is>
          <t>LILLA EDET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42857-2025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46286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46286</v>
      </c>
      <c r="F84" t="inlineStr">
        <is>
          <t>VÄSTRA GÖTALANDS LÄN</t>
        </is>
      </c>
      <c r="G84" t="inlineStr">
        <is>
          <t>LILLA EDET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45915</v>
      </c>
      <c r="E85" s="1" t="n">
        <v>46286</v>
      </c>
      <c r="F85" t="inlineStr">
        <is>
          <t>VÄSTRA GÖTALANDS LÄN</t>
        </is>
      </c>
      <c r="G85" t="inlineStr">
        <is>
          <t>LILLA EDET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46286</v>
      </c>
      <c r="F86" t="inlineStr">
        <is>
          <t>VÄSTRA GÖTALANDS LÄN</t>
        </is>
      </c>
      <c r="G86" t="inlineStr">
        <is>
          <t>LILLA EDET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46286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44671</v>
      </c>
      <c r="E88" s="1" t="n">
        <v>46286</v>
      </c>
      <c r="F88" t="inlineStr">
        <is>
          <t>VÄSTRA GÖTALANDS LÄN</t>
        </is>
      </c>
      <c r="G88" t="inlineStr">
        <is>
          <t>LILLA EDET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46286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46286</v>
      </c>
      <c r="F90" t="inlineStr">
        <is>
          <t>VÄSTRA GÖTALANDS LÄN</t>
        </is>
      </c>
      <c r="G90" t="inlineStr">
        <is>
          <t>LILLA EDET</t>
        </is>
      </c>
      <c r="H90" t="inlineStr">
        <is>
          <t>Kyrkan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46286</v>
      </c>
      <c r="F91" t="inlineStr">
        <is>
          <t>VÄSTRA GÖTALANDS LÄN</t>
        </is>
      </c>
      <c r="G91" t="inlineStr">
        <is>
          <t>LILLA EDET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46286</v>
      </c>
      <c r="F92" t="inlineStr">
        <is>
          <t>VÄSTRA GÖTALANDS LÄN</t>
        </is>
      </c>
      <c r="G92" t="inlineStr">
        <is>
          <t>LILLA EDET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46286</v>
      </c>
      <c r="F93" t="inlineStr">
        <is>
          <t>VÄSTRA GÖTALANDS LÄN</t>
        </is>
      </c>
      <c r="G93" t="inlineStr">
        <is>
          <t>LILLA EDET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45554</v>
      </c>
      <c r="E94" s="1" t="n">
        <v>46286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46286</v>
      </c>
      <c r="F95" t="inlineStr">
        <is>
          <t>VÄSTRA GÖTALANDS LÄN</t>
        </is>
      </c>
      <c r="G95" t="inlineStr">
        <is>
          <t>LILLA EDET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46286</v>
      </c>
      <c r="F96" t="inlineStr">
        <is>
          <t>VÄSTRA GÖTALANDS LÄN</t>
        </is>
      </c>
      <c r="G96" t="inlineStr">
        <is>
          <t>LILLA EDET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46286</v>
      </c>
      <c r="F97" t="inlineStr">
        <is>
          <t>VÄSTRA GÖTALANDS LÄN</t>
        </is>
      </c>
      <c r="G97" t="inlineStr">
        <is>
          <t>LILLA EDET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46286</v>
      </c>
      <c r="F98" t="inlineStr">
        <is>
          <t>VÄSTRA GÖTALANDS LÄN</t>
        </is>
      </c>
      <c r="G98" t="inlineStr">
        <is>
          <t>LILLA EDET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46286</v>
      </c>
      <c r="F99" t="inlineStr">
        <is>
          <t>VÄSTRA GÖTALANDS LÄN</t>
        </is>
      </c>
      <c r="G99" t="inlineStr">
        <is>
          <t>LILLA EDET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46286</v>
      </c>
      <c r="F100" t="inlineStr">
        <is>
          <t>VÄSTRA GÖTALANDS LÄN</t>
        </is>
      </c>
      <c r="G100" t="inlineStr">
        <is>
          <t>LILLA EDET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46286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46286</v>
      </c>
      <c r="F102" t="inlineStr">
        <is>
          <t>VÄSTRA GÖTALANDS LÄN</t>
        </is>
      </c>
      <c r="G102" t="inlineStr">
        <is>
          <t>LILLA EDET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45295</v>
      </c>
      <c r="E103" s="1" t="n">
        <v>46286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45481</v>
      </c>
      <c r="E104" s="1" t="n">
        <v>46286</v>
      </c>
      <c r="F104" t="inlineStr">
        <is>
          <t>VÄSTRA GÖTALANDS LÄN</t>
        </is>
      </c>
      <c r="G104" t="inlineStr">
        <is>
          <t>LILLA EDET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45324</v>
      </c>
      <c r="E105" s="1" t="n">
        <v>46286</v>
      </c>
      <c r="F105" t="inlineStr">
        <is>
          <t>VÄSTRA GÖTALANDS LÄN</t>
        </is>
      </c>
      <c r="G105" t="inlineStr">
        <is>
          <t>LILLA EDET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45324</v>
      </c>
      <c r="E106" s="1" t="n">
        <v>46286</v>
      </c>
      <c r="F106" t="inlineStr">
        <is>
          <t>VÄSTRA GÖTALANDS LÄN</t>
        </is>
      </c>
      <c r="G106" t="inlineStr">
        <is>
          <t>LILLA EDET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38093-2022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46286</v>
      </c>
      <c r="F107" t="inlineStr">
        <is>
          <t>VÄSTRA GÖTALANDS LÄN</t>
        </is>
      </c>
      <c r="G107" t="inlineStr">
        <is>
          <t>LILLA EDET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46286</v>
      </c>
      <c r="F108" t="inlineStr">
        <is>
          <t>VÄSTRA GÖTALANDS LÄN</t>
        </is>
      </c>
      <c r="G108" t="inlineStr">
        <is>
          <t>LILLA EDET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46286</v>
      </c>
      <c r="F109" t="inlineStr">
        <is>
          <t>VÄSTRA GÖTALANDS LÄN</t>
        </is>
      </c>
      <c r="G109" t="inlineStr">
        <is>
          <t>LILLA EDET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46286</v>
      </c>
      <c r="F110" t="inlineStr">
        <is>
          <t>VÄSTRA GÖTALANDS LÄN</t>
        </is>
      </c>
      <c r="G110" t="inlineStr">
        <is>
          <t>LILLA EDET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46286</v>
      </c>
      <c r="F111" t="inlineStr">
        <is>
          <t>VÄSTRA GÖTALANDS LÄN</t>
        </is>
      </c>
      <c r="G111" t="inlineStr">
        <is>
          <t>LILLA EDET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46286</v>
      </c>
      <c r="F112" t="inlineStr">
        <is>
          <t>VÄSTRA GÖTALANDS LÄN</t>
        </is>
      </c>
      <c r="G112" t="inlineStr">
        <is>
          <t>LILLA EDET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46286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Sveaskog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45480</v>
      </c>
      <c r="E114" s="1" t="n">
        <v>46286</v>
      </c>
      <c r="F114" t="inlineStr">
        <is>
          <t>VÄSTRA GÖTALANDS LÄN</t>
        </is>
      </c>
      <c r="G114" t="inlineStr">
        <is>
          <t>LILLA EDET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44915</v>
      </c>
      <c r="E115" s="1" t="n">
        <v>46286</v>
      </c>
      <c r="F115" t="inlineStr">
        <is>
          <t>VÄSTRA GÖTALANDS LÄN</t>
        </is>
      </c>
      <c r="G115" t="inlineStr">
        <is>
          <t>LILLA EDET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45001</v>
      </c>
      <c r="E116" s="1" t="n">
        <v>46286</v>
      </c>
      <c r="F116" t="inlineStr">
        <is>
          <t>VÄSTRA GÖTALANDS LÄN</t>
        </is>
      </c>
      <c r="G116" t="inlineStr">
        <is>
          <t>LILLA EDET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62730-2023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46286</v>
      </c>
      <c r="F117" t="inlineStr">
        <is>
          <t>VÄSTRA GÖTALANDS LÄN</t>
        </is>
      </c>
      <c r="G117" t="inlineStr">
        <is>
          <t>LILLA EDET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45373</v>
      </c>
      <c r="E118" s="1" t="n">
        <v>46286</v>
      </c>
      <c r="F118" t="inlineStr">
        <is>
          <t>VÄSTRA GÖTALANDS LÄN</t>
        </is>
      </c>
      <c r="G118" t="inlineStr">
        <is>
          <t>LILLA EDET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23541-2026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46163</v>
      </c>
      <c r="E119" s="1" t="n">
        <v>46286</v>
      </c>
      <c r="F119" t="inlineStr">
        <is>
          <t>VÄSTRA GÖTALANDS LÄN</t>
        </is>
      </c>
      <c r="G119" t="inlineStr">
        <is>
          <t>LILLA EDET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46286</v>
      </c>
      <c r="F120" t="inlineStr">
        <is>
          <t>VÄSTRA GÖTALANDS LÄN</t>
        </is>
      </c>
      <c r="G120" t="inlineStr">
        <is>
          <t>LILLA EDET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44883</v>
      </c>
      <c r="E121" s="1" t="n">
        <v>46286</v>
      </c>
      <c r="F121" t="inlineStr">
        <is>
          <t>VÄSTRA GÖTALANDS LÄN</t>
        </is>
      </c>
      <c r="G121" t="inlineStr">
        <is>
          <t>LILLA EDET</t>
        </is>
      </c>
      <c r="I121" t="n">
        <v>22.6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52431-2023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45225</v>
      </c>
      <c r="E122" s="1" t="n">
        <v>46286</v>
      </c>
      <c r="F122" t="inlineStr">
        <is>
          <t>VÄSTRA GÖTALANDS LÄN</t>
        </is>
      </c>
      <c r="G122" t="inlineStr">
        <is>
          <t>LILLA EDET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46286</v>
      </c>
      <c r="F123" t="inlineStr">
        <is>
          <t>VÄSTRA GÖTALANDS LÄN</t>
        </is>
      </c>
      <c r="G123" t="inlineStr">
        <is>
          <t>LILLA EDET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46286</v>
      </c>
      <c r="F124" t="inlineStr">
        <is>
          <t>VÄSTRA GÖTALANDS LÄN</t>
        </is>
      </c>
      <c r="G124" t="inlineStr">
        <is>
          <t>LILLA EDET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46286</v>
      </c>
      <c r="F125" t="inlineStr">
        <is>
          <t>VÄSTRA GÖTALANDS LÄN</t>
        </is>
      </c>
      <c r="G125" t="inlineStr">
        <is>
          <t>LILLA EDET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45350</v>
      </c>
      <c r="E126" s="1" t="n">
        <v>46286</v>
      </c>
      <c r="F126" t="inlineStr">
        <is>
          <t>VÄSTRA GÖTALANDS LÄN</t>
        </is>
      </c>
      <c r="G126" t="inlineStr">
        <is>
          <t>LILLA EDET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46286</v>
      </c>
      <c r="F127" t="inlineStr">
        <is>
          <t>VÄSTRA GÖTALANDS LÄN</t>
        </is>
      </c>
      <c r="G127" t="inlineStr">
        <is>
          <t>LILLA EDET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46171</v>
      </c>
      <c r="E128" s="1" t="n">
        <v>46286</v>
      </c>
      <c r="F128" t="inlineStr">
        <is>
          <t>VÄSTRA GÖTALANDS LÄN</t>
        </is>
      </c>
      <c r="G128" t="inlineStr">
        <is>
          <t>LILLA EDET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44662</v>
      </c>
      <c r="E129" s="1" t="n">
        <v>46286</v>
      </c>
      <c r="F129" t="inlineStr">
        <is>
          <t>VÄSTRA GÖTALANDS LÄN</t>
        </is>
      </c>
      <c r="G129" t="inlineStr">
        <is>
          <t>LILLA EDET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45442</v>
      </c>
      <c r="E130" s="1" t="n">
        <v>46286</v>
      </c>
      <c r="F130" t="inlineStr">
        <is>
          <t>VÄSTRA GÖTALANDS LÄN</t>
        </is>
      </c>
      <c r="G130" t="inlineStr">
        <is>
          <t>LILLA EDET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46286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46286</v>
      </c>
      <c r="F132" t="inlineStr">
        <is>
          <t>VÄSTRA GÖTALANDS LÄN</t>
        </is>
      </c>
      <c r="G132" t="inlineStr">
        <is>
          <t>LILLA EDET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46286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46286</v>
      </c>
      <c r="F134" t="inlineStr">
        <is>
          <t>VÄSTRA GÖTALANDS LÄN</t>
        </is>
      </c>
      <c r="G134" t="inlineStr">
        <is>
          <t>LILLA EDET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46286</v>
      </c>
      <c r="F135" t="inlineStr">
        <is>
          <t>VÄSTRA GÖTALANDS LÄN</t>
        </is>
      </c>
      <c r="G135" t="inlineStr">
        <is>
          <t>LILLA EDET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46190</v>
      </c>
      <c r="E136" s="1" t="n">
        <v>46286</v>
      </c>
      <c r="F136" t="inlineStr">
        <is>
          <t>VÄSTRA GÖTALANDS LÄN</t>
        </is>
      </c>
      <c r="G136" t="inlineStr">
        <is>
          <t>LILLA EDET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14427-2026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46286</v>
      </c>
      <c r="F137" t="inlineStr">
        <is>
          <t>VÄSTRA GÖTALANDS LÄN</t>
        </is>
      </c>
      <c r="G137" t="inlineStr">
        <is>
          <t>LILLA EDET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45391</v>
      </c>
      <c r="E138" s="1" t="n">
        <v>46286</v>
      </c>
      <c r="F138" t="inlineStr">
        <is>
          <t>VÄSTRA GÖTALANDS LÄN</t>
        </is>
      </c>
      <c r="G138" t="inlineStr">
        <is>
          <t>LILLA EDET</t>
        </is>
      </c>
      <c r="I138" t="n">
        <v>11.3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46242</v>
      </c>
      <c r="E139" s="1" t="n">
        <v>46286</v>
      </c>
      <c r="F139" t="inlineStr">
        <is>
          <t>VÄSTRA GÖTALANDS LÄN</t>
        </is>
      </c>
      <c r="G139" t="inlineStr">
        <is>
          <t>LILLA EDET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46286</v>
      </c>
      <c r="F140" t="inlineStr">
        <is>
          <t>VÄSTRA GÖTALANDS LÄN</t>
        </is>
      </c>
      <c r="G140" t="inlineStr">
        <is>
          <t>LILLA EDET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17377-2026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46286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18841-2026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46286</v>
      </c>
      <c r="F142" t="inlineStr">
        <is>
          <t>VÄSTRA GÖTALANDS LÄN</t>
        </is>
      </c>
      <c r="G142" t="inlineStr">
        <is>
          <t>LILLA EDET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46286</v>
      </c>
      <c r="F143" t="inlineStr">
        <is>
          <t>VÄSTRA GÖTALANDS LÄN</t>
        </is>
      </c>
      <c r="G143" t="inlineStr">
        <is>
          <t>LILLA EDET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45480</v>
      </c>
      <c r="E144" s="1" t="n">
        <v>46286</v>
      </c>
      <c r="F144" t="inlineStr">
        <is>
          <t>VÄSTRA GÖTALANDS LÄN</t>
        </is>
      </c>
      <c r="G144" t="inlineStr">
        <is>
          <t>LILLA EDET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45303</v>
      </c>
      <c r="E145" s="1" t="n">
        <v>46286</v>
      </c>
      <c r="F145" t="inlineStr">
        <is>
          <t>VÄSTRA GÖTALANDS LÄN</t>
        </is>
      </c>
      <c r="G145" t="inlineStr">
        <is>
          <t>LILLA EDET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46286</v>
      </c>
      <c r="F146" t="inlineStr">
        <is>
          <t>VÄSTRA GÖTALANDS LÄN</t>
        </is>
      </c>
      <c r="G146" t="inlineStr">
        <is>
          <t>LILLA EDET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46251</v>
      </c>
      <c r="E147" s="1" t="n">
        <v>46286</v>
      </c>
      <c r="F147" t="inlineStr">
        <is>
          <t>VÄSTRA GÖTALANDS LÄN</t>
        </is>
      </c>
      <c r="G147" t="inlineStr">
        <is>
          <t>LILLA EDET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46286</v>
      </c>
      <c r="F148" t="inlineStr">
        <is>
          <t>VÄSTRA GÖTALANDS LÄN</t>
        </is>
      </c>
      <c r="G148" t="inlineStr">
        <is>
          <t>LILLA EDET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46036</v>
      </c>
      <c r="E149" s="1" t="n">
        <v>46286</v>
      </c>
      <c r="F149" t="inlineStr">
        <is>
          <t>VÄSTRA GÖTALANDS LÄN</t>
        </is>
      </c>
      <c r="G149" t="inlineStr">
        <is>
          <t>LILLA EDET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46210</v>
      </c>
      <c r="E150" s="1" t="n">
        <v>46286</v>
      </c>
      <c r="F150" t="inlineStr">
        <is>
          <t>VÄSTRA GÖTALANDS LÄN</t>
        </is>
      </c>
      <c r="G150" t="inlineStr">
        <is>
          <t>LILLA EDET</t>
        </is>
      </c>
      <c r="I150" t="n">
        <v>10.5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46286</v>
      </c>
      <c r="F151" t="inlineStr">
        <is>
          <t>VÄSTRA GÖTALANDS LÄN</t>
        </is>
      </c>
      <c r="G151" t="inlineStr">
        <is>
          <t>LILLA EDET</t>
        </is>
      </c>
      <c r="I151" t="n">
        <v>16.4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45158</v>
      </c>
      <c r="E152" s="1" t="n">
        <v>46286</v>
      </c>
      <c r="F152" t="inlineStr">
        <is>
          <t>VÄSTRA GÖTALANDS LÄN</t>
        </is>
      </c>
      <c r="G152" t="inlineStr">
        <is>
          <t>LILLA EDET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45158</v>
      </c>
      <c r="E153" s="1" t="n">
        <v>46286</v>
      </c>
      <c r="F153" t="inlineStr">
        <is>
          <t>VÄSTRA GÖTALANDS LÄN</t>
        </is>
      </c>
      <c r="G153" t="inlineStr">
        <is>
          <t>LILLA EDET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45016</v>
      </c>
      <c r="E154" s="1" t="n">
        <v>46286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45213</v>
      </c>
      <c r="E155" s="1" t="n">
        <v>46286</v>
      </c>
      <c r="F155" t="inlineStr">
        <is>
          <t>VÄSTRA GÖTALANDS LÄN</t>
        </is>
      </c>
      <c r="G155" t="inlineStr">
        <is>
          <t>LILLA EDET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46266</v>
      </c>
      <c r="E156" s="1" t="n">
        <v>46286</v>
      </c>
      <c r="F156" t="inlineStr">
        <is>
          <t>VÄSTRA GÖTALANDS LÄN</t>
        </is>
      </c>
      <c r="G156" t="inlineStr">
        <is>
          <t>LILLA EDET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45189</v>
      </c>
      <c r="E157" s="1" t="n">
        <v>46286</v>
      </c>
      <c r="F157" t="inlineStr">
        <is>
          <t>VÄSTRA GÖTALANDS LÄN</t>
        </is>
      </c>
      <c r="G157" t="inlineStr">
        <is>
          <t>LILLA EDET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45134</v>
      </c>
      <c r="E158" s="1" t="n">
        <v>46286</v>
      </c>
      <c r="F158" t="inlineStr">
        <is>
          <t>VÄSTRA GÖTALANDS LÄN</t>
        </is>
      </c>
      <c r="G158" t="inlineStr">
        <is>
          <t>LILLA EDET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45692</v>
      </c>
      <c r="E159" s="1" t="n">
        <v>46286</v>
      </c>
      <c r="F159" t="inlineStr">
        <is>
          <t>VÄSTRA GÖTALANDS LÄN</t>
        </is>
      </c>
      <c r="G159" t="inlineStr">
        <is>
          <t>LILLA EDET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46286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46273</v>
      </c>
      <c r="E161" s="1" t="n">
        <v>46286</v>
      </c>
      <c r="F161" t="inlineStr">
        <is>
          <t>VÄSTRA GÖTALANDS LÄN</t>
        </is>
      </c>
      <c r="G161" t="inlineStr">
        <is>
          <t>LILLA EDET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46272</v>
      </c>
      <c r="E162" s="1" t="n">
        <v>46286</v>
      </c>
      <c r="F162" t="inlineStr">
        <is>
          <t>VÄSTRA GÖTALANDS LÄN</t>
        </is>
      </c>
      <c r="G162" t="inlineStr">
        <is>
          <t>LILLA EDET</t>
        </is>
      </c>
      <c r="H162" t="inlineStr">
        <is>
          <t>Kommuner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45684</v>
      </c>
      <c r="E163" s="1" t="n">
        <v>46286</v>
      </c>
      <c r="F163" t="inlineStr">
        <is>
          <t>VÄSTRA GÖTALANDS LÄN</t>
        </is>
      </c>
      <c r="G163" t="inlineStr">
        <is>
          <t>LILLA EDET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21617-2024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46286</v>
      </c>
      <c r="F164" t="inlineStr">
        <is>
          <t>VÄSTRA GÖTALANDS LÄN</t>
        </is>
      </c>
      <c r="G164" t="inlineStr">
        <is>
          <t>LILLA EDET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46286</v>
      </c>
      <c r="F165" t="inlineStr">
        <is>
          <t>VÄSTRA GÖTALANDS LÄN</t>
        </is>
      </c>
      <c r="G165" t="inlineStr">
        <is>
          <t>LILLA EDET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45733</v>
      </c>
      <c r="E166" s="1" t="n">
        <v>46286</v>
      </c>
      <c r="F166" t="inlineStr">
        <is>
          <t>VÄSTRA GÖTALANDS LÄN</t>
        </is>
      </c>
      <c r="G166" t="inlineStr">
        <is>
          <t>LILLA EDET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45729</v>
      </c>
      <c r="E167" s="1" t="n">
        <v>46286</v>
      </c>
      <c r="F167" t="inlineStr">
        <is>
          <t>VÄSTRA GÖTALANDS LÄN</t>
        </is>
      </c>
      <c r="G167" t="inlineStr">
        <is>
          <t>LILLA EDET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30724-2024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45496</v>
      </c>
      <c r="E168" s="1" t="n">
        <v>46286</v>
      </c>
      <c r="F168" t="inlineStr">
        <is>
          <t>VÄSTRA GÖTALANDS LÄN</t>
        </is>
      </c>
      <c r="G168" t="inlineStr">
        <is>
          <t>LILLA EDET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45791</v>
      </c>
      <c r="E169" s="1" t="n">
        <v>46286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46286</v>
      </c>
      <c r="F170" t="inlineStr">
        <is>
          <t>VÄSTRA GÖTALANDS LÄN</t>
        </is>
      </c>
      <c r="G170" t="inlineStr">
        <is>
          <t>LILLA EDET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45694</v>
      </c>
      <c r="E171" s="1" t="n">
        <v>46286</v>
      </c>
      <c r="F171" t="inlineStr">
        <is>
          <t>VÄSTRA GÖTALANDS LÄN</t>
        </is>
      </c>
      <c r="G171" t="inlineStr">
        <is>
          <t>LILLA EDET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24053-2025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45796</v>
      </c>
      <c r="E172" s="1" t="n">
        <v>46286</v>
      </c>
      <c r="F172" t="inlineStr">
        <is>
          <t>VÄSTRA GÖTALANDS LÄN</t>
        </is>
      </c>
      <c r="G172" t="inlineStr">
        <is>
          <t>LILLA EDET</t>
        </is>
      </c>
      <c r="I172" t="n">
        <v>11.1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46286</v>
      </c>
      <c r="F173" t="inlineStr">
        <is>
          <t>VÄSTRA GÖTALANDS LÄN</t>
        </is>
      </c>
      <c r="G173" t="inlineStr">
        <is>
          <t>LILLA EDET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46286</v>
      </c>
      <c r="F174" t="inlineStr">
        <is>
          <t>VÄSTRA GÖTALANDS LÄN</t>
        </is>
      </c>
      <c r="G174" t="inlineStr">
        <is>
          <t>LILLA EDET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46286</v>
      </c>
      <c r="F175" t="inlineStr">
        <is>
          <t>VÄSTRA GÖTALANDS LÄN</t>
        </is>
      </c>
      <c r="G175" t="inlineStr">
        <is>
          <t>LILLA EDET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45539</v>
      </c>
      <c r="E176" s="1" t="n">
        <v>46286</v>
      </c>
      <c r="F176" t="inlineStr">
        <is>
          <t>VÄSTRA GÖTALANDS LÄN</t>
        </is>
      </c>
      <c r="G176" t="inlineStr">
        <is>
          <t>LILLA EDET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46286</v>
      </c>
      <c r="F177" t="inlineStr">
        <is>
          <t>VÄSTRA GÖTALANDS LÄN</t>
        </is>
      </c>
      <c r="G177" t="inlineStr">
        <is>
          <t>LILLA EDET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46286</v>
      </c>
      <c r="F178" t="inlineStr">
        <is>
          <t>VÄSTRA GÖTALANDS LÄN</t>
        </is>
      </c>
      <c r="G178" t="inlineStr">
        <is>
          <t>LILLA EDET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45855</v>
      </c>
      <c r="E179" s="1" t="n">
        <v>46286</v>
      </c>
      <c r="F179" t="inlineStr">
        <is>
          <t>VÄSTRA GÖTALANDS LÄN</t>
        </is>
      </c>
      <c r="G179" t="inlineStr">
        <is>
          <t>LILLA EDET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35717-2025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45860</v>
      </c>
      <c r="E180" s="1" t="n">
        <v>46286</v>
      </c>
      <c r="F180" t="inlineStr">
        <is>
          <t>VÄSTRA GÖTALANDS LÄN</t>
        </is>
      </c>
      <c r="G180" t="inlineStr">
        <is>
          <t>LILLA EDET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45733</v>
      </c>
      <c r="E181" s="1" t="n">
        <v>46286</v>
      </c>
      <c r="F181" t="inlineStr">
        <is>
          <t>VÄSTRA GÖTALANDS LÄN</t>
        </is>
      </c>
      <c r="G181" t="inlineStr">
        <is>
          <t>LILLA EDET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460-2023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44964</v>
      </c>
      <c r="E182" s="1" t="n">
        <v>46286</v>
      </c>
      <c r="F182" t="inlineStr">
        <is>
          <t>VÄSTRA GÖTALANDS LÄN</t>
        </is>
      </c>
      <c r="G182" t="inlineStr">
        <is>
          <t>LILLA EDET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2026-09-21T02:00:24Z</dcterms:created>
  <dcterms:modified xmlns:dcterms="http://purl.org/dc/terms/" xmlns:xsi="http://www.w3.org/2001/XMLSchema-instance" xsi:type="dcterms:W3CDTF">2026-09-21T02:00:24Z</dcterms:modified>
</cp:coreProperties>
</file>