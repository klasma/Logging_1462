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46200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Tornseglare
Järnsparv
Ladusvala
Talltita
Blåmossa
Klippfrullania
Västlig hakmossa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46200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46200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46200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46200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46200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Kattfotslav
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46200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Björksplintborre
Blåmossa
Kambräken
Stor revmossa
Västlig hakmossa
Spillkråka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46200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46200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46200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46200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24290-2026</t>
        </is>
      </c>
      <c r="B13" s="1" t="n">
        <v>46169</v>
      </c>
      <c r="C13" s="1" t="n">
        <v>46200</v>
      </c>
      <c r="D13" t="inlineStr">
        <is>
          <t>VÄSTRA GÖTALANDS LÄN</t>
        </is>
      </c>
      <c r="E13" t="inlineStr">
        <is>
          <t>LILLA EDET</t>
        </is>
      </c>
      <c r="G13" t="n">
        <v>3.6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Blanksvart trämyra
Grönpyrola
Västlig hakmossa
Spillkråka</t>
        </is>
      </c>
      <c r="S13">
        <f>HYPERLINK("https://klasma.github.io/Logging_1462/artfynd/A 24290-2026 artfynd.xlsx", "A 24290-2026")</f>
        <v/>
      </c>
      <c r="T13">
        <f>HYPERLINK("https://klasma.github.io/Logging_1462/kartor/A 24290-2026 karta.png", "A 24290-2026")</f>
        <v/>
      </c>
      <c r="V13">
        <f>HYPERLINK("https://klasma.github.io/Logging_1462/klagomål/A 24290-2026 FSC-klagomål.docx", "A 24290-2026")</f>
        <v/>
      </c>
      <c r="W13">
        <f>HYPERLINK("https://klasma.github.io/Logging_1462/klagomålsmail/A 24290-2026 FSC-klagomål mail.docx", "A 24290-2026")</f>
        <v/>
      </c>
      <c r="X13">
        <f>HYPERLINK("https://klasma.github.io/Logging_1462/tillsyn/A 24290-2026 tillsynsbegäran.docx", "A 24290-2026")</f>
        <v/>
      </c>
      <c r="Y13">
        <f>HYPERLINK("https://klasma.github.io/Logging_1462/tillsynsmail/A 24290-2026 tillsynsbegäran mail.docx", "A 24290-2026")</f>
        <v/>
      </c>
      <c r="Z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46200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Nordfladdermus
Dvärgpipistrell
Vattenfladdermus
Grönvit nattviol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46200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46200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46200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46200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46200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46200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13699-2024</t>
        </is>
      </c>
      <c r="B21" s="1" t="n">
        <v>45390</v>
      </c>
      <c r="C21" s="1" t="n">
        <v>46200</v>
      </c>
      <c r="D21" t="inlineStr">
        <is>
          <t>VÄSTRA GÖTALANDS LÄN</t>
        </is>
      </c>
      <c r="E21" t="inlineStr">
        <is>
          <t>LILLA EDET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Spillkråka</t>
        </is>
      </c>
      <c r="S21">
        <f>HYPERLINK("https://klasma.github.io/Logging_1462/artfynd/A 13699-2024 artfynd.xlsx", "A 13699-2024")</f>
        <v/>
      </c>
      <c r="T21">
        <f>HYPERLINK("https://klasma.github.io/Logging_1462/kartor/A 13699-2024 karta.png", "A 13699-2024")</f>
        <v/>
      </c>
      <c r="V21">
        <f>HYPERLINK("https://klasma.github.io/Logging_1462/klagomål/A 13699-2024 FSC-klagomål.docx", "A 13699-2024")</f>
        <v/>
      </c>
      <c r="W21">
        <f>HYPERLINK("https://klasma.github.io/Logging_1462/klagomålsmail/A 13699-2024 FSC-klagomål mail.docx", "A 13699-2024")</f>
        <v/>
      </c>
      <c r="X21">
        <f>HYPERLINK("https://klasma.github.io/Logging_1462/tillsyn/A 13699-2024 tillsynsbegäran.docx", "A 13699-2024")</f>
        <v/>
      </c>
      <c r="Y21">
        <f>HYPERLINK("https://klasma.github.io/Logging_1462/tillsynsmail/A 13699-2024 tillsynsbegäran mail.docx", "A 13699-2024")</f>
        <v/>
      </c>
      <c r="Z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46200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46200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46200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46200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</row>
    <row r="26" ht="15" customHeight="1">
      <c r="A26" t="inlineStr">
        <is>
          <t>A 11102-2024</t>
        </is>
      </c>
      <c r="B26" s="1" t="n">
        <v>45371</v>
      </c>
      <c r="C26" s="1" t="n">
        <v>46200</v>
      </c>
      <c r="D26" t="inlineStr">
        <is>
          <t>VÄSTRA GÖTALANDS LÄN</t>
        </is>
      </c>
      <c r="E26" t="inlineStr">
        <is>
          <t>LILLA EDET</t>
        </is>
      </c>
      <c r="G26" t="n">
        <v>2.8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HYPERLINK("https://klasma.github.io/Logging_1462/artfynd/A 11102-2024 artfynd.xlsx", "A 11102-2024")</f>
        <v/>
      </c>
      <c r="T26">
        <f>HYPERLINK("https://klasma.github.io/Logging_1462/kartor/A 11102-2024 karta.png", "A 11102-2024")</f>
        <v/>
      </c>
      <c r="V26">
        <f>HYPERLINK("https://klasma.github.io/Logging_1462/klagomål/A 11102-2024 FSC-klagomål.docx", "A 11102-2024")</f>
        <v/>
      </c>
      <c r="W26">
        <f>HYPERLINK("https://klasma.github.io/Logging_1462/klagomålsmail/A 11102-2024 FSC-klagomål mail.docx", "A 11102-2024")</f>
        <v/>
      </c>
      <c r="X26">
        <f>HYPERLINK("https://klasma.github.io/Logging_1462/tillsyn/A 11102-2024 tillsynsbegäran.docx", "A 11102-2024")</f>
        <v/>
      </c>
      <c r="Y26">
        <f>HYPERLINK("https://klasma.github.io/Logging_1462/tillsynsmail/A 11102-2024 tillsynsbegäran mail.docx", "A 11102-2024")</f>
        <v/>
      </c>
    </row>
    <row r="27" ht="15" customHeight="1">
      <c r="A27" t="inlineStr">
        <is>
          <t>A 49384-2023</t>
        </is>
      </c>
      <c r="B27" s="1" t="n">
        <v>45205</v>
      </c>
      <c r="C27" s="1" t="n">
        <v>46200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HYPERLINK("https://klasma.github.io/Logging_1462/artfynd/A 49384-2023 artfynd.xlsx", "A 49384-2023")</f>
        <v/>
      </c>
      <c r="T27">
        <f>HYPERLINK("https://klasma.github.io/Logging_1462/kartor/A 49384-2023 karta.png", "A 49384-2023")</f>
        <v/>
      </c>
      <c r="V27">
        <f>HYPERLINK("https://klasma.github.io/Logging_1462/klagomål/A 49384-2023 FSC-klagomål.docx", "A 49384-2023")</f>
        <v/>
      </c>
      <c r="W27">
        <f>HYPERLINK("https://klasma.github.io/Logging_1462/klagomålsmail/A 49384-2023 FSC-klagomål mail.docx", "A 49384-2023")</f>
        <v/>
      </c>
      <c r="X27">
        <f>HYPERLINK("https://klasma.github.io/Logging_1462/tillsyn/A 49384-2023 tillsynsbegäran.docx", "A 49384-2023")</f>
        <v/>
      </c>
      <c r="Y27">
        <f>HYPERLINK("https://klasma.github.io/Logging_1462/tillsynsmail/A 49384-2023 tillsynsbegäran mail.docx", "A 49384-2023")</f>
        <v/>
      </c>
    </row>
    <row r="28" ht="15" customHeight="1">
      <c r="A28" t="inlineStr">
        <is>
          <t>A 7062-2024</t>
        </is>
      </c>
      <c r="B28" s="1" t="n">
        <v>45343</v>
      </c>
      <c r="C28" s="1" t="n">
        <v>46200</v>
      </c>
      <c r="D28" t="inlineStr">
        <is>
          <t>VÄSTRA GÖTALANDS LÄN</t>
        </is>
      </c>
      <c r="E28" t="inlineStr">
        <is>
          <t>LILLA EDET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HYPERLINK("https://klasma.github.io/Logging_1462/artfynd/A 7062-2024 artfynd.xlsx", "A 7062-2024")</f>
        <v/>
      </c>
      <c r="T28">
        <f>HYPERLINK("https://klasma.github.io/Logging_1462/kartor/A 7062-2024 karta.png", "A 7062-2024")</f>
        <v/>
      </c>
      <c r="V28">
        <f>HYPERLINK("https://klasma.github.io/Logging_1462/klagomål/A 7062-2024 FSC-klagomål.docx", "A 7062-2024")</f>
        <v/>
      </c>
      <c r="W28">
        <f>HYPERLINK("https://klasma.github.io/Logging_1462/klagomålsmail/A 7062-2024 FSC-klagomål mail.docx", "A 7062-2024")</f>
        <v/>
      </c>
      <c r="X28">
        <f>HYPERLINK("https://klasma.github.io/Logging_1462/tillsyn/A 7062-2024 tillsynsbegäran.docx", "A 7062-2024")</f>
        <v/>
      </c>
      <c r="Y28">
        <f>HYPERLINK("https://klasma.github.io/Logging_1462/tillsynsmail/A 7062-2024 tillsynsbegäran mail.docx", "A 7062-2024")</f>
        <v/>
      </c>
    </row>
    <row r="29" ht="15" customHeight="1">
      <c r="A29" t="inlineStr">
        <is>
          <t>A 41756-2025</t>
        </is>
      </c>
      <c r="B29" s="1" t="n">
        <v>45902</v>
      </c>
      <c r="C29" s="1" t="n">
        <v>46200</v>
      </c>
      <c r="D29" t="inlineStr">
        <is>
          <t>VÄSTRA GÖTALANDS LÄN</t>
        </is>
      </c>
      <c r="E29" t="inlineStr">
        <is>
          <t>LILLA EDET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vattensalamander</t>
        </is>
      </c>
      <c r="S29">
        <f>HYPERLINK("https://klasma.github.io/Logging_1462/artfynd/A 41756-2025 artfynd.xlsx", "A 41756-2025")</f>
        <v/>
      </c>
      <c r="T29">
        <f>HYPERLINK("https://klasma.github.io/Logging_1462/kartor/A 41756-2025 karta.png", "A 41756-2025")</f>
        <v/>
      </c>
      <c r="V29">
        <f>HYPERLINK("https://klasma.github.io/Logging_1462/klagomål/A 41756-2025 FSC-klagomål.docx", "A 41756-2025")</f>
        <v/>
      </c>
      <c r="W29">
        <f>HYPERLINK("https://klasma.github.io/Logging_1462/klagomålsmail/A 41756-2025 FSC-klagomål mail.docx", "A 41756-2025")</f>
        <v/>
      </c>
      <c r="X29">
        <f>HYPERLINK("https://klasma.github.io/Logging_1462/tillsyn/A 41756-2025 tillsynsbegäran.docx", "A 41756-2025")</f>
        <v/>
      </c>
      <c r="Y29">
        <f>HYPERLINK("https://klasma.github.io/Logging_1462/tillsynsmail/A 41756-2025 tillsynsbegäran mail.docx", "A 41756-2025")</f>
        <v/>
      </c>
    </row>
    <row r="30" ht="15" customHeight="1">
      <c r="A30" t="inlineStr">
        <is>
          <t>A 45941-2025</t>
        </is>
      </c>
      <c r="B30" s="1" t="n">
        <v>45924</v>
      </c>
      <c r="C30" s="1" t="n">
        <v>46200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HYPERLINK("https://klasma.github.io/Logging_1462/artfynd/A 45941-2025 artfynd.xlsx", "A 45941-2025")</f>
        <v/>
      </c>
      <c r="T30">
        <f>HYPERLINK("https://klasma.github.io/Logging_1462/kartor/A 45941-2025 karta.png", "A 45941-2025")</f>
        <v/>
      </c>
      <c r="V30">
        <f>HYPERLINK("https://klasma.github.io/Logging_1462/klagomål/A 45941-2025 FSC-klagomål.docx", "A 45941-2025")</f>
        <v/>
      </c>
      <c r="W30">
        <f>HYPERLINK("https://klasma.github.io/Logging_1462/klagomålsmail/A 45941-2025 FSC-klagomål mail.docx", "A 45941-2025")</f>
        <v/>
      </c>
      <c r="X30">
        <f>HYPERLINK("https://klasma.github.io/Logging_1462/tillsyn/A 45941-2025 tillsynsbegäran.docx", "A 45941-2025")</f>
        <v/>
      </c>
      <c r="Y30">
        <f>HYPERLINK("https://klasma.github.io/Logging_1462/tillsynsmail/A 45941-2025 tillsynsbegäran mail.docx", "A 45941-2025")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46200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46200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46200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46200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46200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46200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</v>
      </c>
      <c r="C37" s="1" t="n">
        <v>46200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18346-2022</t>
        </is>
      </c>
      <c r="B38" s="1" t="n">
        <v>44685</v>
      </c>
      <c r="C38" s="1" t="n">
        <v>46200</v>
      </c>
      <c r="D38" t="inlineStr">
        <is>
          <t>VÄSTRA GÖTALANDS LÄN</t>
        </is>
      </c>
      <c r="E38" t="inlineStr">
        <is>
          <t>LILLA EDET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46200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46200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</v>
      </c>
      <c r="C41" s="1" t="n">
        <v>46200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</v>
      </c>
      <c r="C42" s="1" t="n">
        <v>46200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38386-2022</t>
        </is>
      </c>
      <c r="B43" s="1" t="n">
        <v>44812</v>
      </c>
      <c r="C43" s="1" t="n">
        <v>46200</v>
      </c>
      <c r="D43" t="inlineStr">
        <is>
          <t>VÄSTRA GÖTALANDS LÄN</t>
        </is>
      </c>
      <c r="E43" t="inlineStr">
        <is>
          <t>LILLA EDET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46200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</v>
      </c>
      <c r="C45" s="1" t="n">
        <v>46200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46200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</v>
      </c>
      <c r="C47" s="1" t="n">
        <v>46200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</v>
      </c>
      <c r="C48" s="1" t="n">
        <v>46200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46200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46200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</v>
      </c>
      <c r="C51" s="1" t="n">
        <v>46200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46200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58750-2021</t>
        </is>
      </c>
      <c r="B53" s="1" t="n">
        <v>44489</v>
      </c>
      <c r="C53" s="1" t="n">
        <v>46200</v>
      </c>
      <c r="D53" t="inlineStr">
        <is>
          <t>VÄSTRA GÖTALANDS LÄN</t>
        </is>
      </c>
      <c r="E53" t="inlineStr">
        <is>
          <t>LILLA EDET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41411-2022</t>
        </is>
      </c>
      <c r="B54" s="1" t="n">
        <v>44826</v>
      </c>
      <c r="C54" s="1" t="n">
        <v>46200</v>
      </c>
      <c r="D54" t="inlineStr">
        <is>
          <t>VÄSTRA GÖTALANDS LÄN</t>
        </is>
      </c>
      <c r="E54" t="inlineStr">
        <is>
          <t>LILLA EDET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12647-2023</t>
        </is>
      </c>
      <c r="B55" s="1" t="n">
        <v>45000</v>
      </c>
      <c r="C55" s="1" t="n">
        <v>46200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5324-2025</t>
        </is>
      </c>
      <c r="B56" s="1" t="n">
        <v>45692</v>
      </c>
      <c r="C56" s="1" t="n">
        <v>46200</v>
      </c>
      <c r="D56" t="inlineStr">
        <is>
          <t>VÄSTRA GÖTALANDS LÄN</t>
        </is>
      </c>
      <c r="E56" t="inlineStr">
        <is>
          <t>LILLA EDET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33527-2021</t>
        </is>
      </c>
      <c r="B57" s="1" t="n">
        <v>44377</v>
      </c>
      <c r="C57" s="1" t="n">
        <v>46200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12234-2024</t>
        </is>
      </c>
      <c r="B58" s="1" t="n">
        <v>45378</v>
      </c>
      <c r="C58" s="1" t="n">
        <v>46200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8117-2023</t>
        </is>
      </c>
      <c r="B59" s="1" t="n">
        <v>44974</v>
      </c>
      <c r="C59" s="1" t="n">
        <v>46200</v>
      </c>
      <c r="D59" t="inlineStr">
        <is>
          <t>VÄSTRA GÖTALANDS LÄN</t>
        </is>
      </c>
      <c r="E59" t="inlineStr">
        <is>
          <t>LILLA EDET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4881-2024</t>
        </is>
      </c>
      <c r="B60" s="1" t="n">
        <v>45329</v>
      </c>
      <c r="C60" s="1" t="n">
        <v>46200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16489-2025</t>
        </is>
      </c>
      <c r="B61" s="1" t="n">
        <v>45751</v>
      </c>
      <c r="C61" s="1" t="n">
        <v>46200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26443-2023</t>
        </is>
      </c>
      <c r="B62" s="1" t="n">
        <v>45092</v>
      </c>
      <c r="C62" s="1" t="n">
        <v>46200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43770-2023</t>
        </is>
      </c>
      <c r="B63" s="1" t="n">
        <v>45187</v>
      </c>
      <c r="C63" s="1" t="n">
        <v>46200</v>
      </c>
      <c r="D63" t="inlineStr">
        <is>
          <t>VÄSTRA GÖTALANDS LÄN</t>
        </is>
      </c>
      <c r="E63" t="inlineStr">
        <is>
          <t>LILLA EDET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54681-2021</t>
        </is>
      </c>
      <c r="B64" s="1" t="n">
        <v>44473</v>
      </c>
      <c r="C64" s="1" t="n">
        <v>46200</v>
      </c>
      <c r="D64" t="inlineStr">
        <is>
          <t>VÄSTRA GÖTALANDS LÄN</t>
        </is>
      </c>
      <c r="E64" t="inlineStr">
        <is>
          <t>LILLA EDET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54804-2022</t>
        </is>
      </c>
      <c r="B65" s="1" t="n">
        <v>44883</v>
      </c>
      <c r="C65" s="1" t="n">
        <v>46200</v>
      </c>
      <c r="D65" t="inlineStr">
        <is>
          <t>VÄSTRA GÖTALANDS LÄN</t>
        </is>
      </c>
      <c r="E65" t="inlineStr">
        <is>
          <t>LILLA EDET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406-2024</t>
        </is>
      </c>
      <c r="B66" s="1" t="n">
        <v>45296</v>
      </c>
      <c r="C66" s="1" t="n">
        <v>46200</v>
      </c>
      <c r="D66" t="inlineStr">
        <is>
          <t>VÄSTRA GÖTALANDS LÄN</t>
        </is>
      </c>
      <c r="E66" t="inlineStr">
        <is>
          <t>LILLA EDET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</v>
      </c>
      <c r="C67" s="1" t="n">
        <v>46200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17114-2023</t>
        </is>
      </c>
      <c r="B68" s="1" t="n">
        <v>45034</v>
      </c>
      <c r="C68" s="1" t="n">
        <v>46200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50349-2024</t>
        </is>
      </c>
      <c r="B69" s="1" t="n">
        <v>45600</v>
      </c>
      <c r="C69" s="1" t="n">
        <v>46200</v>
      </c>
      <c r="D69" t="inlineStr">
        <is>
          <t>VÄSTRA GÖTALANDS LÄN</t>
        </is>
      </c>
      <c r="E69" t="inlineStr">
        <is>
          <t>LILLA EDET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33993-2023</t>
        </is>
      </c>
      <c r="B70" s="1" t="n">
        <v>45134</v>
      </c>
      <c r="C70" s="1" t="n">
        <v>46200</v>
      </c>
      <c r="D70" t="inlineStr">
        <is>
          <t>VÄSTRA GÖTALANDS LÄN</t>
        </is>
      </c>
      <c r="E70" t="inlineStr">
        <is>
          <t>LILLA EDET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33996-2023</t>
        </is>
      </c>
      <c r="B71" s="1" t="n">
        <v>45134</v>
      </c>
      <c r="C71" s="1" t="n">
        <v>46200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7912-2024</t>
        </is>
      </c>
      <c r="B72" s="1" t="n">
        <v>45350</v>
      </c>
      <c r="C72" s="1" t="n">
        <v>46200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13581-2023</t>
        </is>
      </c>
      <c r="B73" s="1" t="n">
        <v>45006</v>
      </c>
      <c r="C73" s="1" t="n">
        <v>46200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Kommuner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8071-2024</t>
        </is>
      </c>
      <c r="B74" s="1" t="n">
        <v>45351</v>
      </c>
      <c r="C74" s="1" t="n">
        <v>46200</v>
      </c>
      <c r="D74" t="inlineStr">
        <is>
          <t>VÄSTRA GÖTALANDS LÄN</t>
        </is>
      </c>
      <c r="E74" t="inlineStr">
        <is>
          <t>LILLA EDET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43767-2023</t>
        </is>
      </c>
      <c r="B75" s="1" t="n">
        <v>45187</v>
      </c>
      <c r="C75" s="1" t="n">
        <v>46200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13975-2023</t>
        </is>
      </c>
      <c r="B76" s="1" t="n">
        <v>45008</v>
      </c>
      <c r="C76" s="1" t="n">
        <v>46200</v>
      </c>
      <c r="D76" t="inlineStr">
        <is>
          <t>VÄSTRA GÖTALANDS LÄN</t>
        </is>
      </c>
      <c r="E76" t="inlineStr">
        <is>
          <t>LILLA EDET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16473-2022</t>
        </is>
      </c>
      <c r="B77" s="1" t="n">
        <v>44671</v>
      </c>
      <c r="C77" s="1" t="n">
        <v>46200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7947-2024</t>
        </is>
      </c>
      <c r="B78" s="1" t="n">
        <v>45350</v>
      </c>
      <c r="C78" s="1" t="n">
        <v>46200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47511-2024</t>
        </is>
      </c>
      <c r="B79" s="1" t="n">
        <v>45587</v>
      </c>
      <c r="C79" s="1" t="n">
        <v>46200</v>
      </c>
      <c r="D79" t="inlineStr">
        <is>
          <t>VÄSTRA GÖTALANDS LÄN</t>
        </is>
      </c>
      <c r="E79" t="inlineStr">
        <is>
          <t>LILLA EDET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17116-2023</t>
        </is>
      </c>
      <c r="B80" s="1" t="n">
        <v>45034</v>
      </c>
      <c r="C80" s="1" t="n">
        <v>46200</v>
      </c>
      <c r="D80" t="inlineStr">
        <is>
          <t>VÄSTRA GÖTALANDS LÄN</t>
        </is>
      </c>
      <c r="E80" t="inlineStr">
        <is>
          <t>LILLA EDET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6323-2023</t>
        </is>
      </c>
      <c r="B81" s="1" t="n">
        <v>44960</v>
      </c>
      <c r="C81" s="1" t="n">
        <v>46200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40092-2024</t>
        </is>
      </c>
      <c r="B82" s="1" t="n">
        <v>45554</v>
      </c>
      <c r="C82" s="1" t="n">
        <v>46200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61435-2024</t>
        </is>
      </c>
      <c r="B83" s="1" t="n">
        <v>45646</v>
      </c>
      <c r="C83" s="1" t="n">
        <v>46200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57754-2023</t>
        </is>
      </c>
      <c r="B84" s="1" t="n">
        <v>45246</v>
      </c>
      <c r="C84" s="1" t="n">
        <v>46200</v>
      </c>
      <c r="D84" t="inlineStr">
        <is>
          <t>VÄSTRA GÖTALANDS LÄN</t>
        </is>
      </c>
      <c r="E84" t="inlineStr">
        <is>
          <t>LILLA EDET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15567-2022</t>
        </is>
      </c>
      <c r="B85" s="1" t="n">
        <v>44662</v>
      </c>
      <c r="C85" s="1" t="n">
        <v>46200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21630-2024</t>
        </is>
      </c>
      <c r="B86" s="1" t="n">
        <v>45442</v>
      </c>
      <c r="C86" s="1" t="n">
        <v>46200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26886-2023</t>
        </is>
      </c>
      <c r="B87" s="1" t="n">
        <v>45093</v>
      </c>
      <c r="C87" s="1" t="n">
        <v>46200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5612-2025</t>
        </is>
      </c>
      <c r="B88" s="1" t="n">
        <v>45693</v>
      </c>
      <c r="C88" s="1" t="n">
        <v>46200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37063-2024</t>
        </is>
      </c>
      <c r="B89" s="1" t="n">
        <v>45539</v>
      </c>
      <c r="C89" s="1" t="n">
        <v>46200</v>
      </c>
      <c r="D89" t="inlineStr">
        <is>
          <t>VÄSTRA GÖTALANDS LÄN</t>
        </is>
      </c>
      <c r="E89" t="inlineStr">
        <is>
          <t>LILLA EDET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587-2025</t>
        </is>
      </c>
      <c r="B90" s="1" t="n">
        <v>45664</v>
      </c>
      <c r="C90" s="1" t="n">
        <v>46200</v>
      </c>
      <c r="D90" t="inlineStr">
        <is>
          <t>VÄSTRA GÖTALANDS LÄN</t>
        </is>
      </c>
      <c r="E90" t="inlineStr">
        <is>
          <t>LILLA EDET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12628-2023</t>
        </is>
      </c>
      <c r="B91" s="1" t="n">
        <v>45000</v>
      </c>
      <c r="C91" s="1" t="n">
        <v>46200</v>
      </c>
      <c r="D91" t="inlineStr">
        <is>
          <t>VÄSTRA GÖTALANDS LÄN</t>
        </is>
      </c>
      <c r="E91" t="inlineStr">
        <is>
          <t>LILLA EDET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302-2024</t>
        </is>
      </c>
      <c r="B92" s="1" t="n">
        <v>45295</v>
      </c>
      <c r="C92" s="1" t="n">
        <v>46200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13631-2024</t>
        </is>
      </c>
      <c r="B93" s="1" t="n">
        <v>45390</v>
      </c>
      <c r="C93" s="1" t="n">
        <v>46200</v>
      </c>
      <c r="D93" t="inlineStr">
        <is>
          <t>VÄSTRA GÖTALANDS LÄN</t>
        </is>
      </c>
      <c r="E93" t="inlineStr">
        <is>
          <t>LILLA EDET</t>
        </is>
      </c>
      <c r="G93" t="n">
        <v>16.4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38383-2022</t>
        </is>
      </c>
      <c r="B94" s="1" t="n">
        <v>44812</v>
      </c>
      <c r="C94" s="1" t="n">
        <v>46200</v>
      </c>
      <c r="D94" t="inlineStr">
        <is>
          <t>VÄSTRA GÖTALANDS LÄN</t>
        </is>
      </c>
      <c r="E94" t="inlineStr">
        <is>
          <t>LILLA EDET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65619-2021</t>
        </is>
      </c>
      <c r="B95" s="1" t="n">
        <v>44516</v>
      </c>
      <c r="C95" s="1" t="n">
        <v>46200</v>
      </c>
      <c r="D95" t="inlineStr">
        <is>
          <t>VÄSTRA GÖTALANDS LÄN</t>
        </is>
      </c>
      <c r="E95" t="inlineStr">
        <is>
          <t>LILLA EDET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29066-2024</t>
        </is>
      </c>
      <c r="B96" s="1" t="n">
        <v>45481</v>
      </c>
      <c r="C96" s="1" t="n">
        <v>46200</v>
      </c>
      <c r="D96" t="inlineStr">
        <is>
          <t>VÄSTRA GÖTALANDS LÄN</t>
        </is>
      </c>
      <c r="E96" t="inlineStr">
        <is>
          <t>LILLA EDET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29068-2024</t>
        </is>
      </c>
      <c r="B97" s="1" t="n">
        <v>45481</v>
      </c>
      <c r="C97" s="1" t="n">
        <v>46200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13382-2023</t>
        </is>
      </c>
      <c r="B98" s="1" t="n">
        <v>45005</v>
      </c>
      <c r="C98" s="1" t="n">
        <v>46200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5740-2025</t>
        </is>
      </c>
      <c r="B99" s="1" t="n">
        <v>45694</v>
      </c>
      <c r="C99" s="1" t="n">
        <v>46200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4225-2024</t>
        </is>
      </c>
      <c r="B100" s="1" t="n">
        <v>45324</v>
      </c>
      <c r="C100" s="1" t="n">
        <v>46200</v>
      </c>
      <c r="D100" t="inlineStr">
        <is>
          <t>VÄSTRA GÖTALANDS LÄN</t>
        </is>
      </c>
      <c r="E100" t="inlineStr">
        <is>
          <t>LILLA EDET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4227-2024</t>
        </is>
      </c>
      <c r="B101" s="1" t="n">
        <v>45324</v>
      </c>
      <c r="C101" s="1" t="n">
        <v>46200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6384-2025</t>
        </is>
      </c>
      <c r="B102" s="1" t="n">
        <v>45699</v>
      </c>
      <c r="C102" s="1" t="n">
        <v>46200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36984-2024</t>
        </is>
      </c>
      <c r="B103" s="1" t="n">
        <v>45539</v>
      </c>
      <c r="C103" s="1" t="n">
        <v>46200</v>
      </c>
      <c r="D103" t="inlineStr">
        <is>
          <t>VÄSTRA GÖTALANDS LÄN</t>
        </is>
      </c>
      <c r="E103" t="inlineStr">
        <is>
          <t>LILLA EDET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46200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27222-2025</t>
        </is>
      </c>
      <c r="B105" s="1" t="n">
        <v>45812</v>
      </c>
      <c r="C105" s="1" t="n">
        <v>46200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38093-2022</t>
        </is>
      </c>
      <c r="B106" s="1" t="n">
        <v>44811</v>
      </c>
      <c r="C106" s="1" t="n">
        <v>46200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37508-2023</t>
        </is>
      </c>
      <c r="B107" s="1" t="n">
        <v>45158</v>
      </c>
      <c r="C107" s="1" t="n">
        <v>46200</v>
      </c>
      <c r="D107" t="inlineStr">
        <is>
          <t>VÄSTRA GÖTALANDS LÄN</t>
        </is>
      </c>
      <c r="E107" t="inlineStr">
        <is>
          <t>LILLA EDET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37509-2023</t>
        </is>
      </c>
      <c r="B108" s="1" t="n">
        <v>45158</v>
      </c>
      <c r="C108" s="1" t="n">
        <v>46200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15159-2023</t>
        </is>
      </c>
      <c r="B109" s="1" t="n">
        <v>45016</v>
      </c>
      <c r="C109" s="1" t="n">
        <v>46200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28515-2025</t>
        </is>
      </c>
      <c r="B110" s="1" t="n">
        <v>45819</v>
      </c>
      <c r="C110" s="1" t="n">
        <v>46200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5420-2025</t>
        </is>
      </c>
      <c r="B111" s="1" t="n">
        <v>45692</v>
      </c>
      <c r="C111" s="1" t="n">
        <v>46200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51488-2022</t>
        </is>
      </c>
      <c r="B112" s="1" t="n">
        <v>44869</v>
      </c>
      <c r="C112" s="1" t="n">
        <v>46200</v>
      </c>
      <c r="D112" t="inlineStr">
        <is>
          <t>VÄSTRA GÖTALANDS LÄN</t>
        </is>
      </c>
      <c r="E112" t="inlineStr">
        <is>
          <t>LILLA EDET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6489-2025</t>
        </is>
      </c>
      <c r="B113" s="1" t="n">
        <v>45699</v>
      </c>
      <c r="C113" s="1" t="n">
        <v>46200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9046-2022</t>
        </is>
      </c>
      <c r="B114" s="1" t="n">
        <v>44615</v>
      </c>
      <c r="C114" s="1" t="n">
        <v>46200</v>
      </c>
      <c r="D114" t="inlineStr">
        <is>
          <t>VÄSTRA GÖTALANDS LÄN</t>
        </is>
      </c>
      <c r="E114" t="inlineStr">
        <is>
          <t>LILLA EDET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28903-2024</t>
        </is>
      </c>
      <c r="B115" s="1" t="n">
        <v>45480</v>
      </c>
      <c r="C115" s="1" t="n">
        <v>46200</v>
      </c>
      <c r="D115" t="inlineStr">
        <is>
          <t>VÄSTRA GÖTALANDS LÄN</t>
        </is>
      </c>
      <c r="E115" t="inlineStr">
        <is>
          <t>LILLA EDET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37510-2023</t>
        </is>
      </c>
      <c r="B116" s="1" t="n">
        <v>45158</v>
      </c>
      <c r="C116" s="1" t="n">
        <v>46200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49879-2023</t>
        </is>
      </c>
      <c r="B117" s="1" t="n">
        <v>45213</v>
      </c>
      <c r="C117" s="1" t="n">
        <v>46200</v>
      </c>
      <c r="D117" t="inlineStr">
        <is>
          <t>VÄSTRA GÖTALANDS LÄN</t>
        </is>
      </c>
      <c r="E117" t="inlineStr">
        <is>
          <t>LILLA EDET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61284-2022</t>
        </is>
      </c>
      <c r="B118" s="1" t="n">
        <v>44915</v>
      </c>
      <c r="C118" s="1" t="n">
        <v>46200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</v>
      </c>
      <c r="C119" s="1" t="n">
        <v>46200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12760-2023</t>
        </is>
      </c>
      <c r="B120" s="1" t="n">
        <v>45001</v>
      </c>
      <c r="C120" s="1" t="n">
        <v>46200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44445-2023</t>
        </is>
      </c>
      <c r="B121" s="1" t="n">
        <v>45189</v>
      </c>
      <c r="C121" s="1" t="n">
        <v>46200</v>
      </c>
      <c r="D121" t="inlineStr">
        <is>
          <t>VÄSTRA GÖTALANDS LÄN</t>
        </is>
      </c>
      <c r="E121" t="inlineStr">
        <is>
          <t>LILLA EDET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35420-2025</t>
        </is>
      </c>
      <c r="B122" s="1" t="n">
        <v>45855</v>
      </c>
      <c r="C122" s="1" t="n">
        <v>46200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62730-2023</t>
        </is>
      </c>
      <c r="B123" s="1" t="n">
        <v>45268</v>
      </c>
      <c r="C123" s="1" t="n">
        <v>46200</v>
      </c>
      <c r="D123" t="inlineStr">
        <is>
          <t>VÄSTRA GÖTALANDS LÄN</t>
        </is>
      </c>
      <c r="E123" t="inlineStr">
        <is>
          <t>LILLA EDET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33991-2023</t>
        </is>
      </c>
      <c r="B124" s="1" t="n">
        <v>45134</v>
      </c>
      <c r="C124" s="1" t="n">
        <v>46200</v>
      </c>
      <c r="D124" t="inlineStr">
        <is>
          <t>VÄSTRA GÖTALANDS LÄN</t>
        </is>
      </c>
      <c r="E124" t="inlineStr">
        <is>
          <t>LILLA EDET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</v>
      </c>
      <c r="C125" s="1" t="n">
        <v>46200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11604-2024</t>
        </is>
      </c>
      <c r="B126" s="1" t="n">
        <v>45373</v>
      </c>
      <c r="C126" s="1" t="n">
        <v>46200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13887-2024</t>
        </is>
      </c>
      <c r="B127" s="1" t="n">
        <v>45391</v>
      </c>
      <c r="C127" s="1" t="n">
        <v>46200</v>
      </c>
      <c r="D127" t="inlineStr">
        <is>
          <t>VÄSTRA GÖTALANDS LÄN</t>
        </is>
      </c>
      <c r="E127" t="inlineStr">
        <is>
          <t>LILLA EDET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5328-2025</t>
        </is>
      </c>
      <c r="B128" s="1" t="n">
        <v>45692</v>
      </c>
      <c r="C128" s="1" t="n">
        <v>46200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35423-2025</t>
        </is>
      </c>
      <c r="B129" s="1" t="n">
        <v>45855</v>
      </c>
      <c r="C129" s="1" t="n">
        <v>46200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12784-2025</t>
        </is>
      </c>
      <c r="B130" s="1" t="n">
        <v>45733</v>
      </c>
      <c r="C130" s="1" t="n">
        <v>46200</v>
      </c>
      <c r="D130" t="inlineStr">
        <is>
          <t>VÄSTRA GÖTALANDS LÄN</t>
        </is>
      </c>
      <c r="E130" t="inlineStr">
        <is>
          <t>LILLA EDET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14929-2024</t>
        </is>
      </c>
      <c r="B131" s="1" t="n">
        <v>45398</v>
      </c>
      <c r="C131" s="1" t="n">
        <v>46200</v>
      </c>
      <c r="D131" t="inlineStr">
        <is>
          <t>VÄSTRA GÖTALANDS LÄN</t>
        </is>
      </c>
      <c r="E131" t="inlineStr">
        <is>
          <t>LILLA EDET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3867-2025</t>
        </is>
      </c>
      <c r="B132" s="1" t="n">
        <v>45684</v>
      </c>
      <c r="C132" s="1" t="n">
        <v>46200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57381-2022</t>
        </is>
      </c>
      <c r="B133" s="1" t="n">
        <v>44896</v>
      </c>
      <c r="C133" s="1" t="n">
        <v>46200</v>
      </c>
      <c r="D133" t="inlineStr">
        <is>
          <t>VÄSTRA GÖTALANDS LÄN</t>
        </is>
      </c>
      <c r="E133" t="inlineStr">
        <is>
          <t>LILLA EDET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21617-2024</t>
        </is>
      </c>
      <c r="B134" s="1" t="n">
        <v>45441</v>
      </c>
      <c r="C134" s="1" t="n">
        <v>46200</v>
      </c>
      <c r="D134" t="inlineStr">
        <is>
          <t>VÄSTRA GÖTALANDS LÄN</t>
        </is>
      </c>
      <c r="E134" t="inlineStr">
        <is>
          <t>LILLA EDET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48730-2025</t>
        </is>
      </c>
      <c r="B135" s="1" t="n">
        <v>45936</v>
      </c>
      <c r="C135" s="1" t="n">
        <v>46200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48727-2025</t>
        </is>
      </c>
      <c r="B136" s="1" t="n">
        <v>45936</v>
      </c>
      <c r="C136" s="1" t="n">
        <v>46200</v>
      </c>
      <c r="D136" t="inlineStr">
        <is>
          <t>VÄSTRA GÖTALANDS LÄN</t>
        </is>
      </c>
      <c r="E136" t="inlineStr">
        <is>
          <t>LILLA EDET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49188-2025</t>
        </is>
      </c>
      <c r="B137" s="1" t="n">
        <v>45938</v>
      </c>
      <c r="C137" s="1" t="n">
        <v>46200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13801-2025</t>
        </is>
      </c>
      <c r="B138" s="1" t="n">
        <v>45737</v>
      </c>
      <c r="C138" s="1" t="n">
        <v>46200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2867-2025</t>
        </is>
      </c>
      <c r="B139" s="1" t="n">
        <v>45677</v>
      </c>
      <c r="C139" s="1" t="n">
        <v>46200</v>
      </c>
      <c r="D139" t="inlineStr">
        <is>
          <t>VÄSTRA GÖTALANDS LÄN</t>
        </is>
      </c>
      <c r="E139" t="inlineStr">
        <is>
          <t>LILLA EDET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22561-2025</t>
        </is>
      </c>
      <c r="B140" s="1" t="n">
        <v>45789</v>
      </c>
      <c r="C140" s="1" t="n">
        <v>46200</v>
      </c>
      <c r="D140" t="inlineStr">
        <is>
          <t>VÄSTRA GÖTALANDS LÄN</t>
        </is>
      </c>
      <c r="E140" t="inlineStr">
        <is>
          <t>LILLA EDET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11104-2024</t>
        </is>
      </c>
      <c r="B141" s="1" t="n">
        <v>45371</v>
      </c>
      <c r="C141" s="1" t="n">
        <v>46200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41759-2025</t>
        </is>
      </c>
      <c r="B142" s="1" t="n">
        <v>45902</v>
      </c>
      <c r="C142" s="1" t="n">
        <v>46200</v>
      </c>
      <c r="D142" t="inlineStr">
        <is>
          <t>VÄSTRA GÖTALANDS LÄN</t>
        </is>
      </c>
      <c r="E142" t="inlineStr">
        <is>
          <t>LILLA EDET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41758-2025</t>
        </is>
      </c>
      <c r="B143" s="1" t="n">
        <v>45902</v>
      </c>
      <c r="C143" s="1" t="n">
        <v>46200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41760-2025</t>
        </is>
      </c>
      <c r="B144" s="1" t="n">
        <v>45902</v>
      </c>
      <c r="C144" s="1" t="n">
        <v>46200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41761-2025</t>
        </is>
      </c>
      <c r="B145" s="1" t="n">
        <v>45902</v>
      </c>
      <c r="C145" s="1" t="n">
        <v>46200</v>
      </c>
      <c r="D145" t="inlineStr">
        <is>
          <t>VÄSTRA GÖTALANDS LÄN</t>
        </is>
      </c>
      <c r="E145" t="inlineStr">
        <is>
          <t>LILLA EDET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35422-2025</t>
        </is>
      </c>
      <c r="B146" s="1" t="n">
        <v>45855</v>
      </c>
      <c r="C146" s="1" t="n">
        <v>46200</v>
      </c>
      <c r="D146" t="inlineStr">
        <is>
          <t>VÄSTRA GÖTALANDS LÄN</t>
        </is>
      </c>
      <c r="E146" t="inlineStr">
        <is>
          <t>LILLA EDET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12782-2025</t>
        </is>
      </c>
      <c r="B147" s="1" t="n">
        <v>45733</v>
      </c>
      <c r="C147" s="1" t="n">
        <v>46200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12790-2025</t>
        </is>
      </c>
      <c r="B148" s="1" t="n">
        <v>45733</v>
      </c>
      <c r="C148" s="1" t="n">
        <v>46200</v>
      </c>
      <c r="D148" t="inlineStr">
        <is>
          <t>VÄSTRA GÖTALANDS LÄN</t>
        </is>
      </c>
      <c r="E148" t="inlineStr">
        <is>
          <t>LILLA EDET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42857-2025</t>
        </is>
      </c>
      <c r="B149" s="1" t="n">
        <v>45908</v>
      </c>
      <c r="C149" s="1" t="n">
        <v>46200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12243-2025</t>
        </is>
      </c>
      <c r="B150" s="1" t="n">
        <v>45729</v>
      </c>
      <c r="C150" s="1" t="n">
        <v>46200</v>
      </c>
      <c r="D150" t="inlineStr">
        <is>
          <t>VÄSTRA GÖTALANDS LÄN</t>
        </is>
      </c>
      <c r="E150" t="inlineStr">
        <is>
          <t>LILLA EDET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28910-2024</t>
        </is>
      </c>
      <c r="B151" s="1" t="n">
        <v>45480</v>
      </c>
      <c r="C151" s="1" t="n">
        <v>46200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1382-2024</t>
        </is>
      </c>
      <c r="B152" s="1" t="n">
        <v>45303</v>
      </c>
      <c r="C152" s="1" t="n">
        <v>46200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44104-2025</t>
        </is>
      </c>
      <c r="B153" s="1" t="n">
        <v>45915</v>
      </c>
      <c r="C153" s="1" t="n">
        <v>46200</v>
      </c>
      <c r="D153" t="inlineStr">
        <is>
          <t>VÄSTRA GÖTALANDS LÄN</t>
        </is>
      </c>
      <c r="E153" t="inlineStr">
        <is>
          <t>LILLA EDET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14891-2025</t>
        </is>
      </c>
      <c r="B154" s="1" t="n">
        <v>45743</v>
      </c>
      <c r="C154" s="1" t="n">
        <v>46200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30724-2024</t>
        </is>
      </c>
      <c r="B155" s="1" t="n">
        <v>45496</v>
      </c>
      <c r="C155" s="1" t="n">
        <v>46200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23374-2025</t>
        </is>
      </c>
      <c r="B156" s="1" t="n">
        <v>45791</v>
      </c>
      <c r="C156" s="1" t="n">
        <v>46200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43684-2025</t>
        </is>
      </c>
      <c r="B157" s="1" t="n">
        <v>45912</v>
      </c>
      <c r="C157" s="1" t="n">
        <v>46200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23509-2025</t>
        </is>
      </c>
      <c r="B158" s="1" t="n">
        <v>45792</v>
      </c>
      <c r="C158" s="1" t="n">
        <v>46200</v>
      </c>
      <c r="D158" t="inlineStr">
        <is>
          <t>VÄSTRA GÖTALANDS LÄN</t>
        </is>
      </c>
      <c r="E158" t="inlineStr">
        <is>
          <t>LILLA EDET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5743-2025</t>
        </is>
      </c>
      <c r="B159" s="1" t="n">
        <v>45694</v>
      </c>
      <c r="C159" s="1" t="n">
        <v>46200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44916-2025</t>
        </is>
      </c>
      <c r="B160" s="1" t="n">
        <v>45918</v>
      </c>
      <c r="C160" s="1" t="n">
        <v>46200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44918-2025</t>
        </is>
      </c>
      <c r="B161" s="1" t="n">
        <v>45918</v>
      </c>
      <c r="C161" s="1" t="n">
        <v>46200</v>
      </c>
      <c r="D161" t="inlineStr">
        <is>
          <t>VÄSTRA GÖTALANDS LÄN</t>
        </is>
      </c>
      <c r="E161" t="inlineStr">
        <is>
          <t>LILLA EDET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44914-2025</t>
        </is>
      </c>
      <c r="B162" s="1" t="n">
        <v>45918</v>
      </c>
      <c r="C162" s="1" t="n">
        <v>46200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44915-2025</t>
        </is>
      </c>
      <c r="B163" s="1" t="n">
        <v>45918</v>
      </c>
      <c r="C163" s="1" t="n">
        <v>46200</v>
      </c>
      <c r="D163" t="inlineStr">
        <is>
          <t>VÄSTRA GÖTALANDS LÄN</t>
        </is>
      </c>
      <c r="E163" t="inlineStr">
        <is>
          <t>LILLA EDET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55324-2025</t>
        </is>
      </c>
      <c r="B164" s="1" t="n">
        <v>45971</v>
      </c>
      <c r="C164" s="1" t="n">
        <v>46200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24053-2025</t>
        </is>
      </c>
      <c r="B165" s="1" t="n">
        <v>45796</v>
      </c>
      <c r="C165" s="1" t="n">
        <v>46200</v>
      </c>
      <c r="D165" t="inlineStr">
        <is>
          <t>VÄSTRA GÖTALANDS LÄN</t>
        </is>
      </c>
      <c r="E165" t="inlineStr">
        <is>
          <t>LILLA EDET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7819-2025</t>
        </is>
      </c>
      <c r="B166" s="1" t="n">
        <v>45706</v>
      </c>
      <c r="C166" s="1" t="n">
        <v>46200</v>
      </c>
      <c r="D166" t="inlineStr">
        <is>
          <t>VÄSTRA GÖTALANDS LÄN</t>
        </is>
      </c>
      <c r="E166" t="inlineStr">
        <is>
          <t>LILLA EDET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2438-2026</t>
        </is>
      </c>
      <c r="B167" s="1" t="n">
        <v>46036</v>
      </c>
      <c r="C167" s="1" t="n">
        <v>46200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2226-2026</t>
        </is>
      </c>
      <c r="B168" s="1" t="n">
        <v>46036</v>
      </c>
      <c r="C168" s="1" t="n">
        <v>46200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56584-2025</t>
        </is>
      </c>
      <c r="B169" s="1" t="n">
        <v>45974</v>
      </c>
      <c r="C169" s="1" t="n">
        <v>46200</v>
      </c>
      <c r="D169" t="inlineStr">
        <is>
          <t>VÄSTRA GÖTALANDS LÄN</t>
        </is>
      </c>
      <c r="E169" t="inlineStr">
        <is>
          <t>LILLA EDET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15351-2024</t>
        </is>
      </c>
      <c r="B170" s="1" t="n">
        <v>45400</v>
      </c>
      <c r="C170" s="1" t="n">
        <v>46200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14427-2026</t>
        </is>
      </c>
      <c r="B171" s="1" t="n">
        <v>46100</v>
      </c>
      <c r="C171" s="1" t="n">
        <v>46200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17377-2026</t>
        </is>
      </c>
      <c r="B172" s="1" t="n">
        <v>46119</v>
      </c>
      <c r="C172" s="1" t="n">
        <v>46200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23541-2026</t>
        </is>
      </c>
      <c r="B173" s="1" t="n">
        <v>46163</v>
      </c>
      <c r="C173" s="1" t="n">
        <v>46200</v>
      </c>
      <c r="D173" t="inlineStr">
        <is>
          <t>VÄSTRA GÖTALANDS LÄN</t>
        </is>
      </c>
      <c r="E173" t="inlineStr">
        <is>
          <t>LILLA EDET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18176-2026</t>
        </is>
      </c>
      <c r="B174" s="1" t="n">
        <v>46125</v>
      </c>
      <c r="C174" s="1" t="n">
        <v>46200</v>
      </c>
      <c r="D174" t="inlineStr">
        <is>
          <t>VÄSTRA GÖTALANDS LÄN</t>
        </is>
      </c>
      <c r="E174" t="inlineStr">
        <is>
          <t>LILLA EDET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18021-2026</t>
        </is>
      </c>
      <c r="B175" s="1" t="n">
        <v>46121</v>
      </c>
      <c r="C175" s="1" t="n">
        <v>46200</v>
      </c>
      <c r="D175" t="inlineStr">
        <is>
          <t>VÄSTRA GÖTALANDS LÄN</t>
        </is>
      </c>
      <c r="E175" t="inlineStr">
        <is>
          <t>LILLA EDET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18194-2026</t>
        </is>
      </c>
      <c r="B176" s="1" t="n">
        <v>46125</v>
      </c>
      <c r="C176" s="1" t="n">
        <v>46200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18841-2026</t>
        </is>
      </c>
      <c r="B177" s="1" t="n">
        <v>46129</v>
      </c>
      <c r="C177" s="1" t="n">
        <v>46200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18864-2026</t>
        </is>
      </c>
      <c r="B178" s="1" t="n">
        <v>46127</v>
      </c>
      <c r="C178" s="1" t="n">
        <v>46200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24700-2026</t>
        </is>
      </c>
      <c r="B179" s="1" t="n">
        <v>46171</v>
      </c>
      <c r="C179" s="1" t="n">
        <v>46200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19079-2025</t>
        </is>
      </c>
      <c r="B180" s="1" t="n">
        <v>45766</v>
      </c>
      <c r="C180" s="1" t="n">
        <v>46200</v>
      </c>
      <c r="D180" t="inlineStr">
        <is>
          <t>VÄSTRA GÖTALANDS LÄN</t>
        </is>
      </c>
      <c r="E180" t="inlineStr">
        <is>
          <t>LILLA EDET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61952-2024</t>
        </is>
      </c>
      <c r="B181" s="1" t="n">
        <v>45653</v>
      </c>
      <c r="C181" s="1" t="n">
        <v>46200</v>
      </c>
      <c r="D181" t="inlineStr">
        <is>
          <t>VÄSTRA GÖTALANDS LÄN</t>
        </is>
      </c>
      <c r="E181" t="inlineStr">
        <is>
          <t>LILLA EDET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19956-2026</t>
        </is>
      </c>
      <c r="B182" s="1" t="n">
        <v>46136</v>
      </c>
      <c r="C182" s="1" t="n">
        <v>46200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28022-2023</t>
        </is>
      </c>
      <c r="B183" s="1" t="n">
        <v>45098</v>
      </c>
      <c r="C183" s="1" t="n">
        <v>46200</v>
      </c>
      <c r="D183" t="inlineStr">
        <is>
          <t>VÄSTRA GÖTALANDS LÄN</t>
        </is>
      </c>
      <c r="E183" t="inlineStr">
        <is>
          <t>LILLA EDET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55972-2022</t>
        </is>
      </c>
      <c r="B184" s="1" t="n">
        <v>44889</v>
      </c>
      <c r="C184" s="1" t="n">
        <v>46200</v>
      </c>
      <c r="D184" t="inlineStr">
        <is>
          <t>VÄSTRA GÖTALANDS LÄN</t>
        </is>
      </c>
      <c r="E184" t="inlineStr">
        <is>
          <t>LILLA EDET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61475-2025</t>
        </is>
      </c>
      <c r="B185" s="1" t="n">
        <v>46001</v>
      </c>
      <c r="C185" s="1" t="n">
        <v>46200</v>
      </c>
      <c r="D185" t="inlineStr">
        <is>
          <t>VÄSTRA GÖTALANDS LÄN</t>
        </is>
      </c>
      <c r="E185" t="inlineStr">
        <is>
          <t>LILLA EDET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48904-2024</t>
        </is>
      </c>
      <c r="B186" s="1" t="n">
        <v>45594</v>
      </c>
      <c r="C186" s="1" t="n">
        <v>46200</v>
      </c>
      <c r="D186" t="inlineStr">
        <is>
          <t>VÄSTRA GÖTALANDS LÄN</t>
        </is>
      </c>
      <c r="E186" t="inlineStr">
        <is>
          <t>LILLA EDET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61695-2025</t>
        </is>
      </c>
      <c r="B187" s="1" t="n">
        <v>46002</v>
      </c>
      <c r="C187" s="1" t="n">
        <v>46200</v>
      </c>
      <c r="D187" t="inlineStr">
        <is>
          <t>VÄSTRA GÖTALANDS LÄN</t>
        </is>
      </c>
      <c r="E187" t="inlineStr">
        <is>
          <t>LILLA EDET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25729-2026</t>
        </is>
      </c>
      <c r="B188" s="1" t="n">
        <v>46178</v>
      </c>
      <c r="C188" s="1" t="n">
        <v>46200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21685-2026</t>
        </is>
      </c>
      <c r="B189" s="1" t="n">
        <v>46149</v>
      </c>
      <c r="C189" s="1" t="n">
        <v>46200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21689-2026</t>
        </is>
      </c>
      <c r="B190" s="1" t="n">
        <v>46149</v>
      </c>
      <c r="C190" s="1" t="n">
        <v>46200</v>
      </c>
      <c r="D190" t="inlineStr">
        <is>
          <t>VÄSTRA GÖTALANDS LÄN</t>
        </is>
      </c>
      <c r="E190" t="inlineStr">
        <is>
          <t>LILLA EDET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27643-2026</t>
        </is>
      </c>
      <c r="B191" s="1" t="n">
        <v>46190</v>
      </c>
      <c r="C191" s="1" t="n">
        <v>46200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22257-2026</t>
        </is>
      </c>
      <c r="B192" s="1" t="n">
        <v>46154</v>
      </c>
      <c r="C192" s="1" t="n">
        <v>46200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2026-06-27T00:53:34Z</dcterms:created>
  <dcterms:modified xmlns:dcterms="http://purl.org/dc/terms/" xmlns:xsi="http://www.w3.org/2001/XMLSchema-instance" xsi:type="dcterms:W3CDTF">2026-06-27T00:53:34Z</dcterms:modified>
</cp:coreProperties>
</file>