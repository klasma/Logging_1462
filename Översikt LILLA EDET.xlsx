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46203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Tornseglare
Järnsparv
Ladusvala
Talltita
Blåmossa
Klippfrullania
Västlig hakmossa
Vågbandad barkbock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46203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46203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46203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46203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46203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46203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46203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46203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46203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Nordfladdermus
Dvärgpipistrell
Vattenfladdermus
Grönvit nattviol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28512-2025</t>
        </is>
      </c>
      <c r="B14" s="1" t="n">
        <v>45819</v>
      </c>
      <c r="C14" s="1" t="n">
        <v>46203</v>
      </c>
      <c r="D14" t="inlineStr">
        <is>
          <t>VÄSTRA GÖTALANDS LÄN</t>
        </is>
      </c>
      <c r="E14" t="inlineStr">
        <is>
          <t>LILLA EDET</t>
        </is>
      </c>
      <c r="G14" t="n">
        <v>10.9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Västlig hakmossa
Spillkråka
Tjäder</t>
        </is>
      </c>
      <c r="S14">
        <f>HYPERLINK("https://klasma.github.io/Logging_1462/artfynd/A 28512-2025 artfynd.xlsx", "A 28512-2025")</f>
        <v/>
      </c>
      <c r="T14">
        <f>HYPERLINK("https://klasma.github.io/Logging_1462/kartor/A 28512-2025 karta.png", "A 28512-2025")</f>
        <v/>
      </c>
      <c r="V14">
        <f>HYPERLINK("https://klasma.github.io/Logging_1462/klagomål/A 28512-2025 FSC-klagomål.docx", "A 28512-2025")</f>
        <v/>
      </c>
      <c r="W14">
        <f>HYPERLINK("https://klasma.github.io/Logging_1462/klagomålsmail/A 28512-2025 FSC-klagomål mail.docx", "A 28512-2025")</f>
        <v/>
      </c>
      <c r="X14">
        <f>HYPERLINK("https://klasma.github.io/Logging_1462/tillsyn/A 28512-2025 tillsynsbegäran.docx", "A 28512-2025")</f>
        <v/>
      </c>
      <c r="Y14">
        <f>HYPERLINK("https://klasma.github.io/Logging_1462/tillsynsmail/A 28512-2025 tillsynsbegäran mail.docx", "A 28512-2025")</f>
        <v/>
      </c>
      <c r="Z14">
        <f>HYPERLINK("https://klasma.github.io/Logging_1462/fåglar/A 28512-2025 prioriterade fågelarter.docx", "A 28512-2025")</f>
        <v/>
      </c>
    </row>
    <row r="15" ht="15" customHeight="1">
      <c r="A15" t="inlineStr">
        <is>
          <t>A 25298-2024</t>
        </is>
      </c>
      <c r="B15" s="1" t="n">
        <v>45462</v>
      </c>
      <c r="C15" s="1" t="n">
        <v>46203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5.9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Björksplintborre
Västlig hakmossa
Spillkråka
Revlummer</t>
        </is>
      </c>
      <c r="S15">
        <f>HYPERLINK("https://klasma.github.io/Logging_1462/artfynd/A 25298-2024 artfynd.xlsx", "A 25298-2024")</f>
        <v/>
      </c>
      <c r="T15">
        <f>HYPERLINK("https://klasma.github.io/Logging_1462/kartor/A 25298-2024 karta.png", "A 25298-2024")</f>
        <v/>
      </c>
      <c r="V15">
        <f>HYPERLINK("https://klasma.github.io/Logging_1462/klagomål/A 25298-2024 FSC-klagomål.docx", "A 25298-2024")</f>
        <v/>
      </c>
      <c r="W15">
        <f>HYPERLINK("https://klasma.github.io/Logging_1462/klagomålsmail/A 25298-2024 FSC-klagomål mail.docx", "A 25298-2024")</f>
        <v/>
      </c>
      <c r="X15">
        <f>HYPERLINK("https://klasma.github.io/Logging_1462/tillsyn/A 25298-2024 tillsynsbegäran.docx", "A 25298-2024")</f>
        <v/>
      </c>
      <c r="Y15">
        <f>HYPERLINK("https://klasma.github.io/Logging_1462/tillsynsmail/A 25298-2024 tillsynsbegäran mail.docx", "A 25298-2024")</f>
        <v/>
      </c>
      <c r="Z15">
        <f>HYPERLINK("https://klasma.github.io/Logging_1462/fåglar/A 25298-2024 prioriterade fågelarter.docx", "A 25298-2024")</f>
        <v/>
      </c>
    </row>
    <row r="16" ht="15" customHeight="1">
      <c r="A16" t="inlineStr">
        <is>
          <t>A 17376-2026</t>
        </is>
      </c>
      <c r="B16" s="1" t="n">
        <v>46119</v>
      </c>
      <c r="C16" s="1" t="n">
        <v>46203</v>
      </c>
      <c r="D16" t="inlineStr">
        <is>
          <t>VÄSTRA GÖTALANDS LÄN</t>
        </is>
      </c>
      <c r="E16" t="inlineStr">
        <is>
          <t>LILLA EDET</t>
        </is>
      </c>
      <c r="G16" t="n">
        <v>2.5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Almsnabbvinge
Granspira</t>
        </is>
      </c>
      <c r="S16">
        <f>HYPERLINK("https://klasma.github.io/Logging_1462/artfynd/A 17376-2026 artfynd.xlsx", "A 17376-2026")</f>
        <v/>
      </c>
      <c r="T16">
        <f>HYPERLINK("https://klasma.github.io/Logging_1462/kartor/A 17376-2026 karta.png", "A 17376-2026")</f>
        <v/>
      </c>
      <c r="V16">
        <f>HYPERLINK("https://klasma.github.io/Logging_1462/klagomål/A 17376-2026 FSC-klagomål.docx", "A 17376-2026")</f>
        <v/>
      </c>
      <c r="W16">
        <f>HYPERLINK("https://klasma.github.io/Logging_1462/klagomålsmail/A 17376-2026 FSC-klagomål mail.docx", "A 17376-2026")</f>
        <v/>
      </c>
      <c r="X16">
        <f>HYPERLINK("https://klasma.github.io/Logging_1462/tillsyn/A 17376-2026 tillsynsbegäran.docx", "A 17376-2026")</f>
        <v/>
      </c>
      <c r="Y16">
        <f>HYPERLINK("https://klasma.github.io/Logging_1462/tillsynsmail/A 17376-2026 tillsynsbegäran mail.docx", "A 17376-2026")</f>
        <v/>
      </c>
    </row>
    <row r="17" ht="15" customHeight="1">
      <c r="A17" t="inlineStr">
        <is>
          <t>A 23559-2023</t>
        </is>
      </c>
      <c r="B17" s="1" t="n">
        <v>45072</v>
      </c>
      <c r="C17" s="1" t="n">
        <v>46203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1.7</v>
      </c>
      <c r="H17" t="n">
        <v>2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Flodpärlmussla
Spillkråka
Revlummer</t>
        </is>
      </c>
      <c r="S17">
        <f>HYPERLINK("https://klasma.github.io/Logging_1462/artfynd/A 23559-2023 artfynd.xlsx", "A 23559-2023")</f>
        <v/>
      </c>
      <c r="T17">
        <f>HYPERLINK("https://klasma.github.io/Logging_1462/kartor/A 23559-2023 karta.png", "A 23559-2023")</f>
        <v/>
      </c>
      <c r="V17">
        <f>HYPERLINK("https://klasma.github.io/Logging_1462/klagomål/A 23559-2023 FSC-klagomål.docx", "A 23559-2023")</f>
        <v/>
      </c>
      <c r="W17">
        <f>HYPERLINK("https://klasma.github.io/Logging_1462/klagomålsmail/A 23559-2023 FSC-klagomål mail.docx", "A 23559-2023")</f>
        <v/>
      </c>
      <c r="X17">
        <f>HYPERLINK("https://klasma.github.io/Logging_1462/tillsyn/A 23559-2023 tillsynsbegäran.docx", "A 23559-2023")</f>
        <v/>
      </c>
      <c r="Y17">
        <f>HYPERLINK("https://klasma.github.io/Logging_1462/tillsynsmail/A 23559-2023 tillsynsbegäran mail.docx", "A 23559-2023")</f>
        <v/>
      </c>
      <c r="Z17">
        <f>HYPERLINK("https://klasma.github.io/Logging_1462/fåglar/A 23559-2023 prioriterade fågelarter.docx", "A 23559-2023")</f>
        <v/>
      </c>
    </row>
    <row r="18" ht="15" customHeight="1">
      <c r="A18" t="inlineStr">
        <is>
          <t>A 5834-2026</t>
        </is>
      </c>
      <c r="B18" s="1" t="n">
        <v>46052</v>
      </c>
      <c r="C18" s="1" t="n">
        <v>46203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Havstulpanlav
Tjäder</t>
        </is>
      </c>
      <c r="S18">
        <f>HYPERLINK("https://klasma.github.io/Logging_1462/artfynd/A 5834-2026 artfynd.xlsx", "A 5834-2026")</f>
        <v/>
      </c>
      <c r="T18">
        <f>HYPERLINK("https://klasma.github.io/Logging_1462/kartor/A 5834-2026 karta.png", "A 5834-2026")</f>
        <v/>
      </c>
      <c r="U18">
        <f>HYPERLINK("https://klasma.github.io/Logging_1462/knärot/A 5834-2026 karta knärot.png", "A 5834-2026")</f>
        <v/>
      </c>
      <c r="V18">
        <f>HYPERLINK("https://klasma.github.io/Logging_1462/klagomål/A 5834-2026 FSC-klagomål.docx", "A 5834-2026")</f>
        <v/>
      </c>
      <c r="W18">
        <f>HYPERLINK("https://klasma.github.io/Logging_1462/klagomålsmail/A 5834-2026 FSC-klagomål mail.docx", "A 5834-2026")</f>
        <v/>
      </c>
      <c r="X18">
        <f>HYPERLINK("https://klasma.github.io/Logging_1462/tillsyn/A 5834-2026 tillsynsbegäran.docx", "A 5834-2026")</f>
        <v/>
      </c>
      <c r="Y18">
        <f>HYPERLINK("https://klasma.github.io/Logging_1462/tillsynsmail/A 5834-2026 tillsynsbegäran mail.docx", "A 5834-2026")</f>
        <v/>
      </c>
      <c r="Z18">
        <f>HYPERLINK("https://klasma.github.io/Logging_1462/fåglar/A 5834-2026 prioriterade fågelarter.docx", "A 5834-2026")</f>
        <v/>
      </c>
    </row>
    <row r="19" ht="15" customHeight="1">
      <c r="A19" t="inlineStr">
        <is>
          <t>A 28021-2023</t>
        </is>
      </c>
      <c r="B19" s="1" t="n">
        <v>45098</v>
      </c>
      <c r="C19" s="1" t="n">
        <v>46203</v>
      </c>
      <c r="D19" t="inlineStr">
        <is>
          <t>VÄSTRA GÖTALANDS LÄN</t>
        </is>
      </c>
      <c r="E19" t="inlineStr">
        <is>
          <t>LILLA EDET</t>
        </is>
      </c>
      <c r="G19" t="n">
        <v>1.5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Stor revmossa
Nattskärra
Törnskata</t>
        </is>
      </c>
      <c r="S19">
        <f>HYPERLINK("https://klasma.github.io/Logging_1462/artfynd/A 28021-2023 artfynd.xlsx", "A 28021-2023")</f>
        <v/>
      </c>
      <c r="T19">
        <f>HYPERLINK("https://klasma.github.io/Logging_1462/kartor/A 28021-2023 karta.png", "A 28021-2023")</f>
        <v/>
      </c>
      <c r="V19">
        <f>HYPERLINK("https://klasma.github.io/Logging_1462/klagomål/A 28021-2023 FSC-klagomål.docx", "A 28021-2023")</f>
        <v/>
      </c>
      <c r="W19">
        <f>HYPERLINK("https://klasma.github.io/Logging_1462/klagomålsmail/A 28021-2023 FSC-klagomål mail.docx", "A 28021-2023")</f>
        <v/>
      </c>
      <c r="X19">
        <f>HYPERLINK("https://klasma.github.io/Logging_1462/tillsyn/A 28021-2023 tillsynsbegäran.docx", "A 28021-2023")</f>
        <v/>
      </c>
      <c r="Y19">
        <f>HYPERLINK("https://klasma.github.io/Logging_1462/tillsynsmail/A 28021-2023 tillsynsbegäran mail.docx", "A 28021-2023")</f>
        <v/>
      </c>
      <c r="Z19">
        <f>HYPERLINK("https://klasma.github.io/Logging_1462/fåglar/A 28021-2023 prioriterade fågelarter.docx", "A 28021-2023")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46203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Bergjohannesört
Svinrot
Fläcknycklar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46203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46203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46203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46203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46203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46203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46203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46203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s="1" t="n">
        <v>45546</v>
      </c>
      <c r="C29" s="1" t="n">
        <v>46203</v>
      </c>
      <c r="D29" t="inlineStr">
        <is>
          <t>VÄSTRA GÖTALANDS LÄN</t>
        </is>
      </c>
      <c r="E29" t="inlineStr">
        <is>
          <t>LILLA EDET</t>
        </is>
      </c>
      <c r="F29" t="inlineStr">
        <is>
          <t>Kyrkan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HYPERLINK("https://klasma.github.io/Logging_1462/artfynd/A 38522-2024 artfynd.xlsx", "A 38522-2024")</f>
        <v/>
      </c>
      <c r="T29">
        <f>HYPERLINK("https://klasma.github.io/Logging_1462/kartor/A 38522-2024 karta.png", "A 38522-2024")</f>
        <v/>
      </c>
      <c r="V29">
        <f>HYPERLINK("https://klasma.github.io/Logging_1462/klagomål/A 38522-2024 FSC-klagomål.docx", "A 38522-2024")</f>
        <v/>
      </c>
      <c r="W29">
        <f>HYPERLINK("https://klasma.github.io/Logging_1462/klagomålsmail/A 38522-2024 FSC-klagomål mail.docx", "A 38522-2024")</f>
        <v/>
      </c>
      <c r="X29">
        <f>HYPERLINK("https://klasma.github.io/Logging_1462/tillsyn/A 38522-2024 tillsynsbegäran.docx", "A 38522-2024")</f>
        <v/>
      </c>
      <c r="Y29">
        <f>HYPERLINK("https://klasma.github.io/Logging_1462/tillsynsmail/A 38522-2024 tillsynsbegäran mail.docx", "A 38522-2024")</f>
        <v/>
      </c>
      <c r="Z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s="1" t="n">
        <v>45343</v>
      </c>
      <c r="C30" s="1" t="n">
        <v>46203</v>
      </c>
      <c r="D30" t="inlineStr">
        <is>
          <t>VÄSTRA GÖTALANDS LÄN</t>
        </is>
      </c>
      <c r="E30" t="inlineStr">
        <is>
          <t>LILLA EDET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HYPERLINK("https://klasma.github.io/Logging_1462/artfynd/A 7062-2024 artfynd.xlsx", "A 7062-2024")</f>
        <v/>
      </c>
      <c r="T30">
        <f>HYPERLINK("https://klasma.github.io/Logging_1462/kartor/A 7062-2024 karta.png", "A 7062-2024")</f>
        <v/>
      </c>
      <c r="V30">
        <f>HYPERLINK("https://klasma.github.io/Logging_1462/klagomål/A 7062-2024 FSC-klagomål.docx", "A 7062-2024")</f>
        <v/>
      </c>
      <c r="W30">
        <f>HYPERLINK("https://klasma.github.io/Logging_1462/klagomålsmail/A 7062-2024 FSC-klagomål mail.docx", "A 7062-2024")</f>
        <v/>
      </c>
      <c r="X30">
        <f>HYPERLINK("https://klasma.github.io/Logging_1462/tillsyn/A 7062-2024 tillsynsbegäran.docx", "A 7062-2024")</f>
        <v/>
      </c>
      <c r="Y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s="1" t="n">
        <v>45371</v>
      </c>
      <c r="C31" s="1" t="n">
        <v>46203</v>
      </c>
      <c r="D31" t="inlineStr">
        <is>
          <t>VÄSTRA GÖTALANDS LÄN</t>
        </is>
      </c>
      <c r="E31" t="inlineStr">
        <is>
          <t>LILLA EDET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HYPERLINK("https://klasma.github.io/Logging_1462/artfynd/A 11102-2024 artfynd.xlsx", "A 11102-2024")</f>
        <v/>
      </c>
      <c r="T31">
        <f>HYPERLINK("https://klasma.github.io/Logging_1462/kartor/A 11102-2024 karta.png", "A 11102-2024")</f>
        <v/>
      </c>
      <c r="V31">
        <f>HYPERLINK("https://klasma.github.io/Logging_1462/klagomål/A 11102-2024 FSC-klagomål.docx", "A 11102-2024")</f>
        <v/>
      </c>
      <c r="W31">
        <f>HYPERLINK("https://klasma.github.io/Logging_1462/klagomålsmail/A 11102-2024 FSC-klagomål mail.docx", "A 11102-2024")</f>
        <v/>
      </c>
      <c r="X31">
        <f>HYPERLINK("https://klasma.github.io/Logging_1462/tillsyn/A 11102-2024 tillsynsbegäran.docx", "A 11102-2024")</f>
        <v/>
      </c>
      <c r="Y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46203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46203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46203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</v>
      </c>
      <c r="C35" s="1" t="n">
        <v>46203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46203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</v>
      </c>
      <c r="C37" s="1" t="n">
        <v>46203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46203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12363-2022</t>
        </is>
      </c>
      <c r="B39" s="1" t="n">
        <v>44637</v>
      </c>
      <c r="C39" s="1" t="n">
        <v>46203</v>
      </c>
      <c r="D39" t="inlineStr">
        <is>
          <t>VÄSTRA GÖTALANDS LÄN</t>
        </is>
      </c>
      <c r="E39" t="inlineStr">
        <is>
          <t>LILLA EDET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46203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46203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46203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46203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46203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46203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46203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46203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</v>
      </c>
      <c r="C48" s="1" t="n">
        <v>46203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46203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46203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296-2022</t>
        </is>
      </c>
      <c r="B51" s="1" t="n">
        <v>44565</v>
      </c>
      <c r="C51" s="1" t="n">
        <v>46203</v>
      </c>
      <c r="D51" t="inlineStr">
        <is>
          <t>VÄSTRA GÖTALANDS LÄN</t>
        </is>
      </c>
      <c r="E51" t="inlineStr">
        <is>
          <t>LILLA EDET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</v>
      </c>
      <c r="C52" s="1" t="n">
        <v>46203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12234-2024</t>
        </is>
      </c>
      <c r="B53" s="1" t="n">
        <v>45378</v>
      </c>
      <c r="C53" s="1" t="n">
        <v>46203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5420-2025</t>
        </is>
      </c>
      <c r="B54" s="1" t="n">
        <v>45692</v>
      </c>
      <c r="C54" s="1" t="n">
        <v>46203</v>
      </c>
      <c r="D54" t="inlineStr">
        <is>
          <t>VÄSTRA GÖTALANDS LÄN</t>
        </is>
      </c>
      <c r="E54" t="inlineStr">
        <is>
          <t>LILLA EDET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57381-2022</t>
        </is>
      </c>
      <c r="B55" s="1" t="n">
        <v>44896</v>
      </c>
      <c r="C55" s="1" t="n">
        <v>46203</v>
      </c>
      <c r="D55" t="inlineStr">
        <is>
          <t>VÄSTRA GÖTALANDS LÄN</t>
        </is>
      </c>
      <c r="E55" t="inlineStr">
        <is>
          <t>LILLA EDET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48727-2025</t>
        </is>
      </c>
      <c r="B56" s="1" t="n">
        <v>45936</v>
      </c>
      <c r="C56" s="1" t="n">
        <v>46203</v>
      </c>
      <c r="D56" t="inlineStr">
        <is>
          <t>VÄSTRA GÖTALANDS LÄN</t>
        </is>
      </c>
      <c r="E56" t="inlineStr">
        <is>
          <t>LILLA EDET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48730-2025</t>
        </is>
      </c>
      <c r="B57" s="1" t="n">
        <v>45936</v>
      </c>
      <c r="C57" s="1" t="n">
        <v>46203</v>
      </c>
      <c r="D57" t="inlineStr">
        <is>
          <t>VÄSTRA GÖTALANDS LÄN</t>
        </is>
      </c>
      <c r="E57" t="inlineStr">
        <is>
          <t>LILLA EDET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12784-2025</t>
        </is>
      </c>
      <c r="B58" s="1" t="n">
        <v>45733</v>
      </c>
      <c r="C58" s="1" t="n">
        <v>46203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13801-2025</t>
        </is>
      </c>
      <c r="B59" s="1" t="n">
        <v>45737</v>
      </c>
      <c r="C59" s="1" t="n">
        <v>46203</v>
      </c>
      <c r="D59" t="inlineStr">
        <is>
          <t>VÄSTRA GÖTALANDS LÄN</t>
        </is>
      </c>
      <c r="E59" t="inlineStr">
        <is>
          <t>LILLA EDET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49188-2025</t>
        </is>
      </c>
      <c r="B60" s="1" t="n">
        <v>45938</v>
      </c>
      <c r="C60" s="1" t="n">
        <v>46203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3867-2025</t>
        </is>
      </c>
      <c r="B61" s="1" t="n">
        <v>45684</v>
      </c>
      <c r="C61" s="1" t="n">
        <v>46203</v>
      </c>
      <c r="D61" t="inlineStr">
        <is>
          <t>VÄSTRA GÖTALANDS LÄN</t>
        </is>
      </c>
      <c r="E61" t="inlineStr">
        <is>
          <t>LILLA EDET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2867-2025</t>
        </is>
      </c>
      <c r="B62" s="1" t="n">
        <v>45677</v>
      </c>
      <c r="C62" s="1" t="n">
        <v>46203</v>
      </c>
      <c r="D62" t="inlineStr">
        <is>
          <t>VÄSTRA GÖTALANDS LÄN</t>
        </is>
      </c>
      <c r="E62" t="inlineStr">
        <is>
          <t>LILLA EDET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35423-2025</t>
        </is>
      </c>
      <c r="B63" s="1" t="n">
        <v>45855</v>
      </c>
      <c r="C63" s="1" t="n">
        <v>46203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21617-2024</t>
        </is>
      </c>
      <c r="B64" s="1" t="n">
        <v>45441</v>
      </c>
      <c r="C64" s="1" t="n">
        <v>46203</v>
      </c>
      <c r="D64" t="inlineStr">
        <is>
          <t>VÄSTRA GÖTALANDS LÄN</t>
        </is>
      </c>
      <c r="E64" t="inlineStr">
        <is>
          <t>LILLA EDET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30724-2024</t>
        </is>
      </c>
      <c r="B65" s="1" t="n">
        <v>45496</v>
      </c>
      <c r="C65" s="1" t="n">
        <v>46203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22561-2025</t>
        </is>
      </c>
      <c r="B66" s="1" t="n">
        <v>45789</v>
      </c>
      <c r="C66" s="1" t="n">
        <v>46203</v>
      </c>
      <c r="D66" t="inlineStr">
        <is>
          <t>VÄSTRA GÖTALANDS LÄN</t>
        </is>
      </c>
      <c r="E66" t="inlineStr">
        <is>
          <t>LILLA EDET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</v>
      </c>
      <c r="C67" s="1" t="n">
        <v>46203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23509-2025</t>
        </is>
      </c>
      <c r="B68" s="1" t="n">
        <v>45792</v>
      </c>
      <c r="C68" s="1" t="n">
        <v>46203</v>
      </c>
      <c r="D68" t="inlineStr">
        <is>
          <t>VÄSTRA GÖTALANDS LÄN</t>
        </is>
      </c>
      <c r="E68" t="inlineStr">
        <is>
          <t>LILLA EDET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23374-2025</t>
        </is>
      </c>
      <c r="B69" s="1" t="n">
        <v>45791</v>
      </c>
      <c r="C69" s="1" t="n">
        <v>46203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12790-2025</t>
        </is>
      </c>
      <c r="B70" s="1" t="n">
        <v>45733</v>
      </c>
      <c r="C70" s="1" t="n">
        <v>46203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12782-2025</t>
        </is>
      </c>
      <c r="B71" s="1" t="n">
        <v>45733</v>
      </c>
      <c r="C71" s="1" t="n">
        <v>46203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12243-2025</t>
        </is>
      </c>
      <c r="B72" s="1" t="n">
        <v>45729</v>
      </c>
      <c r="C72" s="1" t="n">
        <v>46203</v>
      </c>
      <c r="D72" t="inlineStr">
        <is>
          <t>VÄSTRA GÖTALANDS LÄN</t>
        </is>
      </c>
      <c r="E72" t="inlineStr">
        <is>
          <t>LILLA EDET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</v>
      </c>
      <c r="C73" s="1" t="n">
        <v>46203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24053-2025</t>
        </is>
      </c>
      <c r="B74" s="1" t="n">
        <v>45796</v>
      </c>
      <c r="C74" s="1" t="n">
        <v>46203</v>
      </c>
      <c r="D74" t="inlineStr">
        <is>
          <t>VÄSTRA GÖTALANDS LÄN</t>
        </is>
      </c>
      <c r="E74" t="inlineStr">
        <is>
          <t>LILLA EDET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41758-2025</t>
        </is>
      </c>
      <c r="B75" s="1" t="n">
        <v>45902</v>
      </c>
      <c r="C75" s="1" t="n">
        <v>46203</v>
      </c>
      <c r="D75" t="inlineStr">
        <is>
          <t>VÄSTRA GÖTALANDS LÄN</t>
        </is>
      </c>
      <c r="E75" t="inlineStr">
        <is>
          <t>LILLA EDET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</v>
      </c>
      <c r="C76" s="1" t="n">
        <v>46203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41761-2025</t>
        </is>
      </c>
      <c r="B77" s="1" t="n">
        <v>45902</v>
      </c>
      <c r="C77" s="1" t="n">
        <v>46203</v>
      </c>
      <c r="D77" t="inlineStr">
        <is>
          <t>VÄSTRA GÖTALANDS LÄN</t>
        </is>
      </c>
      <c r="E77" t="inlineStr">
        <is>
          <t>LILLA EDET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41759-2025</t>
        </is>
      </c>
      <c r="B78" s="1" t="n">
        <v>45902</v>
      </c>
      <c r="C78" s="1" t="n">
        <v>46203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61284-2022</t>
        </is>
      </c>
      <c r="B79" s="1" t="n">
        <v>44915</v>
      </c>
      <c r="C79" s="1" t="n">
        <v>46203</v>
      </c>
      <c r="D79" t="inlineStr">
        <is>
          <t>VÄSTRA GÖTALANDS LÄN</t>
        </is>
      </c>
      <c r="E79" t="inlineStr">
        <is>
          <t>LILLA EDET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52431-2023</t>
        </is>
      </c>
      <c r="B80" s="1" t="n">
        <v>45225</v>
      </c>
      <c r="C80" s="1" t="n">
        <v>46203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35422-2025</t>
        </is>
      </c>
      <c r="B81" s="1" t="n">
        <v>45855</v>
      </c>
      <c r="C81" s="1" t="n">
        <v>46203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5743-2025</t>
        </is>
      </c>
      <c r="B82" s="1" t="n">
        <v>45694</v>
      </c>
      <c r="C82" s="1" t="n">
        <v>46203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42857-2025</t>
        </is>
      </c>
      <c r="B83" s="1" t="n">
        <v>45908</v>
      </c>
      <c r="C83" s="1" t="n">
        <v>46203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7819-2025</t>
        </is>
      </c>
      <c r="B84" s="1" t="n">
        <v>45706</v>
      </c>
      <c r="C84" s="1" t="n">
        <v>46203</v>
      </c>
      <c r="D84" t="inlineStr">
        <is>
          <t>VÄSTRA GÖTALANDS LÄN</t>
        </is>
      </c>
      <c r="E84" t="inlineStr">
        <is>
          <t>LILLA EDET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55324-2025</t>
        </is>
      </c>
      <c r="B85" s="1" t="n">
        <v>45971</v>
      </c>
      <c r="C85" s="1" t="n">
        <v>46203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43684-2025</t>
        </is>
      </c>
      <c r="B86" s="1" t="n">
        <v>45912</v>
      </c>
      <c r="C86" s="1" t="n">
        <v>46203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44104-2025</t>
        </is>
      </c>
      <c r="B87" s="1" t="n">
        <v>45915</v>
      </c>
      <c r="C87" s="1" t="n">
        <v>46203</v>
      </c>
      <c r="D87" t="inlineStr">
        <is>
          <t>VÄSTRA GÖTALANDS LÄN</t>
        </is>
      </c>
      <c r="E87" t="inlineStr">
        <is>
          <t>LILLA EDET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44914-2025</t>
        </is>
      </c>
      <c r="B88" s="1" t="n">
        <v>45918</v>
      </c>
      <c r="C88" s="1" t="n">
        <v>46203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44915-2025</t>
        </is>
      </c>
      <c r="B89" s="1" t="n">
        <v>45918</v>
      </c>
      <c r="C89" s="1" t="n">
        <v>46203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44918-2025</t>
        </is>
      </c>
      <c r="B90" s="1" t="n">
        <v>45918</v>
      </c>
      <c r="C90" s="1" t="n">
        <v>46203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5740-2025</t>
        </is>
      </c>
      <c r="B91" s="1" t="n">
        <v>45694</v>
      </c>
      <c r="C91" s="1" t="n">
        <v>46203</v>
      </c>
      <c r="D91" t="inlineStr">
        <is>
          <t>VÄSTRA GÖTALANDS LÄN</t>
        </is>
      </c>
      <c r="E91" t="inlineStr">
        <is>
          <t>LILLA EDET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6384-2025</t>
        </is>
      </c>
      <c r="B92" s="1" t="n">
        <v>45699</v>
      </c>
      <c r="C92" s="1" t="n">
        <v>46203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44916-2025</t>
        </is>
      </c>
      <c r="B93" s="1" t="n">
        <v>45918</v>
      </c>
      <c r="C93" s="1" t="n">
        <v>46203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36984-2024</t>
        </is>
      </c>
      <c r="B94" s="1" t="n">
        <v>45539</v>
      </c>
      <c r="C94" s="1" t="n">
        <v>46203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27222-2025</t>
        </is>
      </c>
      <c r="B95" s="1" t="n">
        <v>45812</v>
      </c>
      <c r="C95" s="1" t="n">
        <v>46203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28515-2025</t>
        </is>
      </c>
      <c r="B96" s="1" t="n">
        <v>45819</v>
      </c>
      <c r="C96" s="1" t="n">
        <v>46203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11104-2024</t>
        </is>
      </c>
      <c r="B97" s="1" t="n">
        <v>45371</v>
      </c>
      <c r="C97" s="1" t="n">
        <v>46203</v>
      </c>
      <c r="D97" t="inlineStr">
        <is>
          <t>VÄSTRA GÖTALANDS LÄN</t>
        </is>
      </c>
      <c r="E97" t="inlineStr">
        <is>
          <t>LILLA EDET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33993-2023</t>
        </is>
      </c>
      <c r="B98" s="1" t="n">
        <v>45134</v>
      </c>
      <c r="C98" s="1" t="n">
        <v>46203</v>
      </c>
      <c r="D98" t="inlineStr">
        <is>
          <t>VÄSTRA GÖTALANDS LÄN</t>
        </is>
      </c>
      <c r="E98" t="inlineStr">
        <is>
          <t>LILLA EDET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33996-2023</t>
        </is>
      </c>
      <c r="B99" s="1" t="n">
        <v>45134</v>
      </c>
      <c r="C99" s="1" t="n">
        <v>46203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65619-2021</t>
        </is>
      </c>
      <c r="B100" s="1" t="n">
        <v>44516</v>
      </c>
      <c r="C100" s="1" t="n">
        <v>46203</v>
      </c>
      <c r="D100" t="inlineStr">
        <is>
          <t>VÄSTRA GÖTALANDS LÄN</t>
        </is>
      </c>
      <c r="E100" t="inlineStr">
        <is>
          <t>LILLA EDET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51488-2022</t>
        </is>
      </c>
      <c r="B101" s="1" t="n">
        <v>44869</v>
      </c>
      <c r="C101" s="1" t="n">
        <v>46203</v>
      </c>
      <c r="D101" t="inlineStr">
        <is>
          <t>VÄSTRA GÖTALANDS LÄN</t>
        </is>
      </c>
      <c r="E101" t="inlineStr">
        <is>
          <t>LILLA EDET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35420-2025</t>
        </is>
      </c>
      <c r="B102" s="1" t="n">
        <v>45855</v>
      </c>
      <c r="C102" s="1" t="n">
        <v>46203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</v>
      </c>
      <c r="C103" s="1" t="n">
        <v>46203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28910-2024</t>
        </is>
      </c>
      <c r="B104" s="1" t="n">
        <v>45480</v>
      </c>
      <c r="C104" s="1" t="n">
        <v>46203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11604-2024</t>
        </is>
      </c>
      <c r="B105" s="1" t="n">
        <v>45373</v>
      </c>
      <c r="C105" s="1" t="n">
        <v>46203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35717-2025</t>
        </is>
      </c>
      <c r="B106" s="1" t="n">
        <v>45860</v>
      </c>
      <c r="C106" s="1" t="n">
        <v>46203</v>
      </c>
      <c r="D106" t="inlineStr">
        <is>
          <t>VÄSTRA GÖTALANDS LÄN</t>
        </is>
      </c>
      <c r="E106" t="inlineStr">
        <is>
          <t>LILLA EDET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15567-2022</t>
        </is>
      </c>
      <c r="B107" s="1" t="n">
        <v>44662</v>
      </c>
      <c r="C107" s="1" t="n">
        <v>46203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1382-2024</t>
        </is>
      </c>
      <c r="B108" s="1" t="n">
        <v>45303</v>
      </c>
      <c r="C108" s="1" t="n">
        <v>46203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2226-2026</t>
        </is>
      </c>
      <c r="B109" s="1" t="n">
        <v>46036</v>
      </c>
      <c r="C109" s="1" t="n">
        <v>46203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</v>
      </c>
      <c r="C110" s="1" t="n">
        <v>46203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2438-2026</t>
        </is>
      </c>
      <c r="B111" s="1" t="n">
        <v>46036</v>
      </c>
      <c r="C111" s="1" t="n">
        <v>46203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46203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46203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46203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56584-2025</t>
        </is>
      </c>
      <c r="B115" s="1" t="n">
        <v>45974</v>
      </c>
      <c r="C115" s="1" t="n">
        <v>46203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46203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12628-2023</t>
        </is>
      </c>
      <c r="B117" s="1" t="n">
        <v>45000</v>
      </c>
      <c r="C117" s="1" t="n">
        <v>46203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15351-2024</t>
        </is>
      </c>
      <c r="B118" s="1" t="n">
        <v>45400</v>
      </c>
      <c r="C118" s="1" t="n">
        <v>46203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50349-2024</t>
        </is>
      </c>
      <c r="B119" s="1" t="n">
        <v>45600</v>
      </c>
      <c r="C119" s="1" t="n">
        <v>46203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14427-2026</t>
        </is>
      </c>
      <c r="B120" s="1" t="n">
        <v>46100</v>
      </c>
      <c r="C120" s="1" t="n">
        <v>46203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28903-2024</t>
        </is>
      </c>
      <c r="B121" s="1" t="n">
        <v>45480</v>
      </c>
      <c r="C121" s="1" t="n">
        <v>46203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12647-2023</t>
        </is>
      </c>
      <c r="B122" s="1" t="n">
        <v>45000</v>
      </c>
      <c r="C122" s="1" t="n">
        <v>46203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17377-2026</t>
        </is>
      </c>
      <c r="B123" s="1" t="n">
        <v>46119</v>
      </c>
      <c r="C123" s="1" t="n">
        <v>46203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23541-2026</t>
        </is>
      </c>
      <c r="B124" s="1" t="n">
        <v>46163</v>
      </c>
      <c r="C124" s="1" t="n">
        <v>46203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18194-2026</t>
        </is>
      </c>
      <c r="B125" s="1" t="n">
        <v>46125</v>
      </c>
      <c r="C125" s="1" t="n">
        <v>46203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18176-2026</t>
        </is>
      </c>
      <c r="B126" s="1" t="n">
        <v>46125</v>
      </c>
      <c r="C126" s="1" t="n">
        <v>46203</v>
      </c>
      <c r="D126" t="inlineStr">
        <is>
          <t>VÄSTRA GÖTALANDS LÄN</t>
        </is>
      </c>
      <c r="E126" t="inlineStr">
        <is>
          <t>LILLA EDET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18864-2026</t>
        </is>
      </c>
      <c r="B127" s="1" t="n">
        <v>46127</v>
      </c>
      <c r="C127" s="1" t="n">
        <v>46203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18021-2026</t>
        </is>
      </c>
      <c r="B128" s="1" t="n">
        <v>46121</v>
      </c>
      <c r="C128" s="1" t="n">
        <v>46203</v>
      </c>
      <c r="D128" t="inlineStr">
        <is>
          <t>VÄSTRA GÖTALANDS LÄN</t>
        </is>
      </c>
      <c r="E128" t="inlineStr">
        <is>
          <t>LILLA EDET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5328-2025</t>
        </is>
      </c>
      <c r="B129" s="1" t="n">
        <v>45692</v>
      </c>
      <c r="C129" s="1" t="n">
        <v>46203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18841-2026</t>
        </is>
      </c>
      <c r="B130" s="1" t="n">
        <v>46129</v>
      </c>
      <c r="C130" s="1" t="n">
        <v>46203</v>
      </c>
      <c r="D130" t="inlineStr">
        <is>
          <t>VÄSTRA GÖTALANDS LÄN</t>
        </is>
      </c>
      <c r="E130" t="inlineStr">
        <is>
          <t>LILLA EDET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24700-2026</t>
        </is>
      </c>
      <c r="B131" s="1" t="n">
        <v>46171</v>
      </c>
      <c r="C131" s="1" t="n">
        <v>46203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19956-2026</t>
        </is>
      </c>
      <c r="B132" s="1" t="n">
        <v>46136</v>
      </c>
      <c r="C132" s="1" t="n">
        <v>46203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19079-2025</t>
        </is>
      </c>
      <c r="B133" s="1" t="n">
        <v>45766</v>
      </c>
      <c r="C133" s="1" t="n">
        <v>46203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28022-2023</t>
        </is>
      </c>
      <c r="B134" s="1" t="n">
        <v>45098</v>
      </c>
      <c r="C134" s="1" t="n">
        <v>46203</v>
      </c>
      <c r="D134" t="inlineStr">
        <is>
          <t>VÄSTRA GÖTALANDS LÄN</t>
        </is>
      </c>
      <c r="E134" t="inlineStr">
        <is>
          <t>LILLA EDET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48904-2024</t>
        </is>
      </c>
      <c r="B135" s="1" t="n">
        <v>45594</v>
      </c>
      <c r="C135" s="1" t="n">
        <v>46203</v>
      </c>
      <c r="D135" t="inlineStr">
        <is>
          <t>VÄSTRA GÖTALANDS LÄN</t>
        </is>
      </c>
      <c r="E135" t="inlineStr">
        <is>
          <t>LILLA EDET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61952-2024</t>
        </is>
      </c>
      <c r="B136" s="1" t="n">
        <v>45653</v>
      </c>
      <c r="C136" s="1" t="n">
        <v>46203</v>
      </c>
      <c r="D136" t="inlineStr">
        <is>
          <t>VÄSTRA GÖTALANDS LÄN</t>
        </is>
      </c>
      <c r="E136" t="inlineStr">
        <is>
          <t>LILLA EDET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61475-2025</t>
        </is>
      </c>
      <c r="B137" s="1" t="n">
        <v>46001</v>
      </c>
      <c r="C137" s="1" t="n">
        <v>46203</v>
      </c>
      <c r="D137" t="inlineStr">
        <is>
          <t>VÄSTRA GÖTALANDS LÄN</t>
        </is>
      </c>
      <c r="E137" t="inlineStr">
        <is>
          <t>LILLA EDET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55972-2022</t>
        </is>
      </c>
      <c r="B138" s="1" t="n">
        <v>44889</v>
      </c>
      <c r="C138" s="1" t="n">
        <v>46203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25729-2026</t>
        </is>
      </c>
      <c r="B139" s="1" t="n">
        <v>46178</v>
      </c>
      <c r="C139" s="1" t="n">
        <v>46203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</v>
      </c>
      <c r="C140" s="1" t="n">
        <v>46203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27643-2026</t>
        </is>
      </c>
      <c r="B141" s="1" t="n">
        <v>46190</v>
      </c>
      <c r="C141" s="1" t="n">
        <v>46203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21689-2026</t>
        </is>
      </c>
      <c r="B142" s="1" t="n">
        <v>46149</v>
      </c>
      <c r="C142" s="1" t="n">
        <v>46203</v>
      </c>
      <c r="D142" t="inlineStr">
        <is>
          <t>VÄSTRA GÖTALANDS LÄN</t>
        </is>
      </c>
      <c r="E142" t="inlineStr">
        <is>
          <t>LILLA EDET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21685-2026</t>
        </is>
      </c>
      <c r="B143" s="1" t="n">
        <v>46149</v>
      </c>
      <c r="C143" s="1" t="n">
        <v>46203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22257-2026</t>
        </is>
      </c>
      <c r="B144" s="1" t="n">
        <v>46154</v>
      </c>
      <c r="C144" s="1" t="n">
        <v>46203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26886-2023</t>
        </is>
      </c>
      <c r="B145" s="1" t="n">
        <v>45093</v>
      </c>
      <c r="C145" s="1" t="n">
        <v>46203</v>
      </c>
      <c r="D145" t="inlineStr">
        <is>
          <t>VÄSTRA GÖTALANDS LÄN</t>
        </is>
      </c>
      <c r="E145" t="inlineStr">
        <is>
          <t>LILLA EDET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16489-2025</t>
        </is>
      </c>
      <c r="B146" s="1" t="n">
        <v>45751</v>
      </c>
      <c r="C146" s="1" t="n">
        <v>46203</v>
      </c>
      <c r="D146" t="inlineStr">
        <is>
          <t>VÄSTRA GÖTALANDS LÄN</t>
        </is>
      </c>
      <c r="E146" t="inlineStr">
        <is>
          <t>LILLA EDET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26443-2023</t>
        </is>
      </c>
      <c r="B147" s="1" t="n">
        <v>45092</v>
      </c>
      <c r="C147" s="1" t="n">
        <v>46203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17114-2023</t>
        </is>
      </c>
      <c r="B148" s="1" t="n">
        <v>45034</v>
      </c>
      <c r="C148" s="1" t="n">
        <v>46203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58750-2021</t>
        </is>
      </c>
      <c r="B149" s="1" t="n">
        <v>44489</v>
      </c>
      <c r="C149" s="1" t="n">
        <v>46203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7947-2024</t>
        </is>
      </c>
      <c r="B150" s="1" t="n">
        <v>45350</v>
      </c>
      <c r="C150" s="1" t="n">
        <v>46203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13581-2023</t>
        </is>
      </c>
      <c r="B151" s="1" t="n">
        <v>45006</v>
      </c>
      <c r="C151" s="1" t="n">
        <v>46203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46203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47511-2024</t>
        </is>
      </c>
      <c r="B153" s="1" t="n">
        <v>45587</v>
      </c>
      <c r="C153" s="1" t="n">
        <v>46203</v>
      </c>
      <c r="D153" t="inlineStr">
        <is>
          <t>VÄSTRA GÖTALANDS LÄN</t>
        </is>
      </c>
      <c r="E153" t="inlineStr">
        <is>
          <t>LILLA EDET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43770-2023</t>
        </is>
      </c>
      <c r="B154" s="1" t="n">
        <v>45187</v>
      </c>
      <c r="C154" s="1" t="n">
        <v>46203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4881-2024</t>
        </is>
      </c>
      <c r="B155" s="1" t="n">
        <v>45329</v>
      </c>
      <c r="C155" s="1" t="n">
        <v>46203</v>
      </c>
      <c r="D155" t="inlineStr">
        <is>
          <t>VÄSTRA GÖTALANDS LÄN</t>
        </is>
      </c>
      <c r="E155" t="inlineStr">
        <is>
          <t>LILLA EDET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</v>
      </c>
      <c r="C156" s="1" t="n">
        <v>46203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61435-2024</t>
        </is>
      </c>
      <c r="B157" s="1" t="n">
        <v>45646</v>
      </c>
      <c r="C157" s="1" t="n">
        <v>46203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14929-2024</t>
        </is>
      </c>
      <c r="B158" s="1" t="n">
        <v>45398</v>
      </c>
      <c r="C158" s="1" t="n">
        <v>46203</v>
      </c>
      <c r="D158" t="inlineStr">
        <is>
          <t>VÄSTRA GÖTALANDS LÄN</t>
        </is>
      </c>
      <c r="E158" t="inlineStr">
        <is>
          <t>LILLA EDET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21630-2024</t>
        </is>
      </c>
      <c r="B159" s="1" t="n">
        <v>45442</v>
      </c>
      <c r="C159" s="1" t="n">
        <v>46203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43767-2023</t>
        </is>
      </c>
      <c r="B160" s="1" t="n">
        <v>45187</v>
      </c>
      <c r="C160" s="1" t="n">
        <v>46203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33991-2023</t>
        </is>
      </c>
      <c r="B161" s="1" t="n">
        <v>45134</v>
      </c>
      <c r="C161" s="1" t="n">
        <v>46203</v>
      </c>
      <c r="D161" t="inlineStr">
        <is>
          <t>VÄSTRA GÖTALANDS LÄN</t>
        </is>
      </c>
      <c r="E161" t="inlineStr">
        <is>
          <t>LILLA EDET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41411-2022</t>
        </is>
      </c>
      <c r="B162" s="1" t="n">
        <v>44826</v>
      </c>
      <c r="C162" s="1" t="n">
        <v>46203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4225-2024</t>
        </is>
      </c>
      <c r="B163" s="1" t="n">
        <v>45324</v>
      </c>
      <c r="C163" s="1" t="n">
        <v>46203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4227-2024</t>
        </is>
      </c>
      <c r="B164" s="1" t="n">
        <v>45324</v>
      </c>
      <c r="C164" s="1" t="n">
        <v>46203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37508-2023</t>
        </is>
      </c>
      <c r="B165" s="1" t="n">
        <v>45158</v>
      </c>
      <c r="C165" s="1" t="n">
        <v>46203</v>
      </c>
      <c r="D165" t="inlineStr">
        <is>
          <t>VÄSTRA GÖTALANDS LÄN</t>
        </is>
      </c>
      <c r="E165" t="inlineStr">
        <is>
          <t>LILLA EDET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37509-2023</t>
        </is>
      </c>
      <c r="B166" s="1" t="n">
        <v>45158</v>
      </c>
      <c r="C166" s="1" t="n">
        <v>46203</v>
      </c>
      <c r="D166" t="inlineStr">
        <is>
          <t>VÄSTRA GÖTALANDS LÄN</t>
        </is>
      </c>
      <c r="E166" t="inlineStr">
        <is>
          <t>LILLA EDET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46203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38093-2022</t>
        </is>
      </c>
      <c r="B168" s="1" t="n">
        <v>44811</v>
      </c>
      <c r="C168" s="1" t="n">
        <v>46203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46203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40092-2024</t>
        </is>
      </c>
      <c r="B170" s="1" t="n">
        <v>45554</v>
      </c>
      <c r="C170" s="1" t="n">
        <v>46203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57754-2023</t>
        </is>
      </c>
      <c r="B171" s="1" t="n">
        <v>45246</v>
      </c>
      <c r="C171" s="1" t="n">
        <v>46203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</v>
      </c>
      <c r="C172" s="1" t="n">
        <v>46203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</v>
      </c>
      <c r="C173" s="1" t="n">
        <v>46203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46203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</v>
      </c>
      <c r="C175" s="1" t="n">
        <v>46203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46203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</v>
      </c>
      <c r="C177" s="1" t="n">
        <v>46203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29068-2024</t>
        </is>
      </c>
      <c r="B178" s="1" t="n">
        <v>45481</v>
      </c>
      <c r="C178" s="1" t="n">
        <v>46203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</v>
      </c>
      <c r="C179" s="1" t="n">
        <v>46203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</v>
      </c>
      <c r="C180" s="1" t="n">
        <v>46203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37063-2024</t>
        </is>
      </c>
      <c r="B181" s="1" t="n">
        <v>45539</v>
      </c>
      <c r="C181" s="1" t="n">
        <v>46203</v>
      </c>
      <c r="D181" t="inlineStr">
        <is>
          <t>VÄSTRA GÖTALANDS LÄN</t>
        </is>
      </c>
      <c r="E181" t="inlineStr">
        <is>
          <t>LILLA EDET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15159-2023</t>
        </is>
      </c>
      <c r="B182" s="1" t="n">
        <v>45016</v>
      </c>
      <c r="C182" s="1" t="n">
        <v>46203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46203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46203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33527-2021</t>
        </is>
      </c>
      <c r="B185" s="1" t="n">
        <v>44377</v>
      </c>
      <c r="C185" s="1" t="n">
        <v>46203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8071-2024</t>
        </is>
      </c>
      <c r="B186" s="1" t="n">
        <v>45351</v>
      </c>
      <c r="C186" s="1" t="n">
        <v>46203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6489-2025</t>
        </is>
      </c>
      <c r="B187" s="1" t="n">
        <v>45699</v>
      </c>
      <c r="C187" s="1" t="n">
        <v>46203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46203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46203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49879-2023</t>
        </is>
      </c>
      <c r="B190" s="1" t="n">
        <v>45213</v>
      </c>
      <c r="C190" s="1" t="n">
        <v>46203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2026-06-30T00:58:17Z</dcterms:created>
  <dcterms:modified xmlns:dcterms="http://purl.org/dc/terms/" xmlns:xsi="http://www.w3.org/2001/XMLSchema-instance" xsi:type="dcterms:W3CDTF">2026-06-30T00:58:17Z</dcterms:modified>
</cp:coreProperties>
</file>