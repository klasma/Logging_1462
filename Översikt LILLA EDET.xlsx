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46257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46257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46257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46257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46257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46257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46257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46257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46257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46257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46257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46257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46257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46257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46257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46257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46257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46257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46257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46257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11102-2024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46257</v>
      </c>
      <c r="F24" t="inlineStr">
        <is>
          <t>VÄSTRA GÖTALANDS LÄN</t>
        </is>
      </c>
      <c r="G24" t="inlineStr">
        <is>
          <t>LILLA EDET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HYPERLINK("https://klasma.github.io/Logging_1462/artfynd/A 11102-2024 artfynd.xlsx", "A 11102-2024")</f>
        <v/>
      </c>
      <c r="X24">
        <f>HYPERLINK("https://klasma.github.io/Logging_1462/kartor/A 11102-2024 karta.png", "A 11102-2024")</f>
        <v/>
      </c>
      <c r="Y24">
        <f>HYPERLINK("https://klasma.github.io/Logging_1462/kartor_geotiff/A 11102-2024 georefererad karta.tif", "A 11102-2024")</f>
        <v/>
      </c>
      <c r="AA24">
        <f>HYPERLINK("https://klasma.github.io/Logging_1462/klagomål/A 11102-2024 FSC-klagomål.docx", "A 11102-2024")</f>
        <v/>
      </c>
      <c r="AB24">
        <f>HYPERLINK("https://klasma.github.io/Logging_1462/klagomålsmail/A 11102-2024 FSC-klagomål mail.docx", "A 11102-2024")</f>
        <v/>
      </c>
      <c r="AC24">
        <f>HYPERLINK("https://klasma.github.io/Logging_1462/tillsyn/A 11102-2024 tillsynsbegäran.docx", "A 11102-2024")</f>
        <v/>
      </c>
      <c r="AD24">
        <f>HYPERLINK("https://klasma.github.io/Logging_1462/tillsynsmail/A 11102-2024 tillsynsbegäran mail.docx", "A 11102-2024")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46257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46257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46257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49384-2023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45205</v>
      </c>
      <c r="E28" s="1" t="n">
        <v>46257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Kattfotslav</t>
        </is>
      </c>
      <c r="W28">
        <f>HYPERLINK("https://klasma.github.io/Logging_1462/artfynd/A 49384-2023 artfynd.xlsx", "A 49384-2023")</f>
        <v/>
      </c>
      <c r="X28">
        <f>HYPERLINK("https://klasma.github.io/Logging_1462/kartor/A 49384-2023 karta.png", "A 49384-2023")</f>
        <v/>
      </c>
      <c r="Y28">
        <f>HYPERLINK("https://klasma.github.io/Logging_1462/kartor_geotiff/A 49384-2023 georefererad karta.tif", "A 49384-2023")</f>
        <v/>
      </c>
      <c r="AA28">
        <f>HYPERLINK("https://klasma.github.io/Logging_1462/klagomål/A 49384-2023 FSC-klagomål.docx", "A 49384-2023")</f>
        <v/>
      </c>
      <c r="AB28">
        <f>HYPERLINK("https://klasma.github.io/Logging_1462/klagomålsmail/A 49384-2023 FSC-klagomål mail.docx", "A 49384-2023")</f>
        <v/>
      </c>
      <c r="AC28">
        <f>HYPERLINK("https://klasma.github.io/Logging_1462/tillsyn/A 49384-2023 tillsynsbegäran.docx", "A 49384-2023")</f>
        <v/>
      </c>
      <c r="AD28">
        <f>HYPERLINK("https://klasma.github.io/Logging_1462/tillsynsmail/A 49384-2023 tillsynsbegäran mail.docx", "A 49384-2023")</f>
        <v/>
      </c>
    </row>
    <row r="29" ht="15" customHeight="1">
      <c r="A29" t="inlineStr">
        <is>
          <t>A 30273-2022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44759</v>
      </c>
      <c r="E29" s="1" t="n">
        <v>46257</v>
      </c>
      <c r="F29" t="inlineStr">
        <is>
          <t>VÄSTRA GÖTALANDS LÄN</t>
        </is>
      </c>
      <c r="G29" t="inlineStr">
        <is>
          <t>LILLA EDET</t>
        </is>
      </c>
      <c r="I29" t="n">
        <v>12.5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Ärtsångare</t>
        </is>
      </c>
      <c r="W29">
        <f>HYPERLINK("https://klasma.github.io/Logging_1462/artfynd/A 30273-2022 artfynd.xlsx", "A 30273-2022")</f>
        <v/>
      </c>
      <c r="X29">
        <f>HYPERLINK("https://klasma.github.io/Logging_1462/kartor/A 30273-2022 karta.png", "A 30273-2022")</f>
        <v/>
      </c>
      <c r="Y29">
        <f>HYPERLINK("https://klasma.github.io/Logging_1462/kartor_geotiff/A 30273-2022 georefererad karta.tif", "A 30273-2022")</f>
        <v/>
      </c>
      <c r="AA29">
        <f>HYPERLINK("https://klasma.github.io/Logging_1462/klagomål/A 30273-2022 FSC-klagomål.docx", "A 30273-2022")</f>
        <v/>
      </c>
      <c r="AB29">
        <f>HYPERLINK("https://klasma.github.io/Logging_1462/klagomålsmail/A 30273-2022 FSC-klagomål mail.docx", "A 30273-2022")</f>
        <v/>
      </c>
      <c r="AC29">
        <f>HYPERLINK("https://klasma.github.io/Logging_1462/tillsyn/A 30273-2022 tillsynsbegäran.docx", "A 30273-2022")</f>
        <v/>
      </c>
      <c r="AD29">
        <f>HYPERLINK("https://klasma.github.io/Logging_1462/tillsynsmail/A 30273-2022 tillsynsbegäran mail.docx", "A 30273-2022")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46257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46257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46257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46257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46257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46257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46257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46257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46257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46257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46257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46257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46257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46257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46257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35423-2025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45855</v>
      </c>
      <c r="E45" s="1" t="n">
        <v>46257</v>
      </c>
      <c r="F45" t="inlineStr">
        <is>
          <t>VÄSTRA GÖTALANDS LÄN</t>
        </is>
      </c>
      <c r="G45" t="inlineStr">
        <is>
          <t>LILLA EDET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45706</v>
      </c>
      <c r="E46" s="1" t="n">
        <v>46257</v>
      </c>
      <c r="F46" t="inlineStr">
        <is>
          <t>VÄSTRA GÖTALANDS LÄN</t>
        </is>
      </c>
      <c r="G46" t="inlineStr">
        <is>
          <t>LILLA EDET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51569-2021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46257</v>
      </c>
      <c r="F47" t="inlineStr">
        <is>
          <t>VÄSTRA GÖTALANDS LÄN</t>
        </is>
      </c>
      <c r="G47" t="inlineStr">
        <is>
          <t>LILLA EDET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46257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46257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46257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46257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45694</v>
      </c>
      <c r="E52" s="1" t="n">
        <v>46257</v>
      </c>
      <c r="F52" t="inlineStr">
        <is>
          <t>VÄSTRA GÖTALANDS LÄN</t>
        </is>
      </c>
      <c r="G52" t="inlineStr">
        <is>
          <t>LILLA EDET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46257</v>
      </c>
      <c r="F53" t="inlineStr">
        <is>
          <t>VÄSTRA GÖTALANDS LÄN</t>
        </is>
      </c>
      <c r="G53" t="inlineStr">
        <is>
          <t>LILLA EDET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46257</v>
      </c>
      <c r="F54" t="inlineStr">
        <is>
          <t>VÄSTRA GÖTALANDS LÄN</t>
        </is>
      </c>
      <c r="G54" t="inlineStr">
        <is>
          <t>LILLA EDET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46257</v>
      </c>
      <c r="F55" t="inlineStr">
        <is>
          <t>VÄSTRA GÖTALANDS LÄN</t>
        </is>
      </c>
      <c r="G55" t="inlineStr">
        <is>
          <t>LILLA EDET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44627</v>
      </c>
      <c r="E56" s="1" t="n">
        <v>46257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46257</v>
      </c>
      <c r="F57" t="inlineStr">
        <is>
          <t>VÄSTRA GÖTALANDS LÄN</t>
        </is>
      </c>
      <c r="G57" t="inlineStr">
        <is>
          <t>LILLA EDET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46257</v>
      </c>
      <c r="F58" t="inlineStr">
        <is>
          <t>VÄSTRA GÖTALANDS LÄN</t>
        </is>
      </c>
      <c r="G58" t="inlineStr">
        <is>
          <t>LILLA EDET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45819</v>
      </c>
      <c r="E59" s="1" t="n">
        <v>46257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58750-2021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46257</v>
      </c>
      <c r="F60" t="inlineStr">
        <is>
          <t>VÄSTRA GÖTALANDS LÄN</t>
        </is>
      </c>
      <c r="G60" t="inlineStr">
        <is>
          <t>LILLA EDET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46257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46257</v>
      </c>
      <c r="F62" t="inlineStr">
        <is>
          <t>VÄSTRA GÖTALANDS LÄN</t>
        </is>
      </c>
      <c r="G62" t="inlineStr">
        <is>
          <t>LILLA EDET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13581-2023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45006</v>
      </c>
      <c r="E63" s="1" t="n">
        <v>46257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Kommuner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46257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46257</v>
      </c>
      <c r="F65" t="inlineStr">
        <is>
          <t>VÄSTRA GÖTALANDS LÄN</t>
        </is>
      </c>
      <c r="G65" t="inlineStr">
        <is>
          <t>LILLA EDET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46257</v>
      </c>
      <c r="F66" t="inlineStr">
        <is>
          <t>VÄSTRA GÖTALANDS LÄN</t>
        </is>
      </c>
      <c r="G66" t="inlineStr">
        <is>
          <t>LILLA EDET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46257</v>
      </c>
      <c r="F67" t="inlineStr">
        <is>
          <t>VÄSTRA GÖTALANDS LÄN</t>
        </is>
      </c>
      <c r="G67" t="inlineStr">
        <is>
          <t>LILLA EDET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46257</v>
      </c>
      <c r="F68" t="inlineStr">
        <is>
          <t>VÄSTRA GÖTALANDS LÄN</t>
        </is>
      </c>
      <c r="G68" t="inlineStr">
        <is>
          <t>LILLA EDET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46257</v>
      </c>
      <c r="F69" t="inlineStr">
        <is>
          <t>VÄSTRA GÖTALANDS LÄN</t>
        </is>
      </c>
      <c r="G69" t="inlineStr">
        <is>
          <t>LILLA EDET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46257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46257</v>
      </c>
      <c r="F71" t="inlineStr">
        <is>
          <t>VÄSTRA GÖTALANDS LÄN</t>
        </is>
      </c>
      <c r="G71" t="inlineStr">
        <is>
          <t>LILLA EDET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16473-2022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44671</v>
      </c>
      <c r="E72" s="1" t="n">
        <v>46257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45915</v>
      </c>
      <c r="E73" s="1" t="n">
        <v>46257</v>
      </c>
      <c r="F73" t="inlineStr">
        <is>
          <t>VÄSTRA GÖTALANDS LÄN</t>
        </is>
      </c>
      <c r="G73" t="inlineStr">
        <is>
          <t>LILLA EDET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44960</v>
      </c>
      <c r="E74" s="1" t="n">
        <v>46257</v>
      </c>
      <c r="F74" t="inlineStr">
        <is>
          <t>VÄSTRA GÖTALANDS LÄN</t>
        </is>
      </c>
      <c r="G74" t="inlineStr">
        <is>
          <t>LILLA EDET</t>
        </is>
      </c>
      <c r="H74" t="inlineStr">
        <is>
          <t>Kyrkan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46257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46257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46257</v>
      </c>
      <c r="F77" t="inlineStr">
        <is>
          <t>VÄSTRA GÖTALANDS LÄN</t>
        </is>
      </c>
      <c r="G77" t="inlineStr">
        <is>
          <t>LILLA EDET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46257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46257</v>
      </c>
      <c r="F79" t="inlineStr">
        <is>
          <t>VÄSTRA GÖTALANDS LÄN</t>
        </is>
      </c>
      <c r="G79" t="inlineStr">
        <is>
          <t>LILLA EDET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46257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46257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46257</v>
      </c>
      <c r="F82" t="inlineStr">
        <is>
          <t>VÄSTRA GÖTALANDS LÄN</t>
        </is>
      </c>
      <c r="G82" t="inlineStr">
        <is>
          <t>LILLA EDET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46257</v>
      </c>
      <c r="F83" t="inlineStr">
        <is>
          <t>VÄSTRA GÖTALANDS LÄN</t>
        </is>
      </c>
      <c r="G83" t="inlineStr">
        <is>
          <t>LILLA EDET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46257</v>
      </c>
      <c r="F84" t="inlineStr">
        <is>
          <t>VÄSTRA GÖTALANDS LÄN</t>
        </is>
      </c>
      <c r="G84" t="inlineStr">
        <is>
          <t>LILLA EDET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46257</v>
      </c>
      <c r="F85" t="inlineStr">
        <is>
          <t>VÄSTRA GÖTALANDS LÄN</t>
        </is>
      </c>
      <c r="G85" t="inlineStr">
        <is>
          <t>LILLA EDET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44473</v>
      </c>
      <c r="E86" s="1" t="n">
        <v>46257</v>
      </c>
      <c r="F86" t="inlineStr">
        <is>
          <t>VÄSTRA GÖTALANDS LÄN</t>
        </is>
      </c>
      <c r="G86" t="inlineStr">
        <is>
          <t>LILLA EDET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46257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46257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46257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46257</v>
      </c>
      <c r="F90" t="inlineStr">
        <is>
          <t>VÄSTRA GÖTALANDS LÄN</t>
        </is>
      </c>
      <c r="G90" t="inlineStr">
        <is>
          <t>LILLA EDET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45296</v>
      </c>
      <c r="E91" s="1" t="n">
        <v>46257</v>
      </c>
      <c r="F91" t="inlineStr">
        <is>
          <t>VÄSTRA GÖTALANDS LÄN</t>
        </is>
      </c>
      <c r="G91" t="inlineStr">
        <is>
          <t>LILLA EDET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46257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45481</v>
      </c>
      <c r="E93" s="1" t="n">
        <v>46257</v>
      </c>
      <c r="F93" t="inlineStr">
        <is>
          <t>VÄSTRA GÖTALANDS LÄN</t>
        </is>
      </c>
      <c r="G93" t="inlineStr">
        <is>
          <t>LILLA EDET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46257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46257</v>
      </c>
      <c r="F95" t="inlineStr">
        <is>
          <t>VÄSTRA GÖTALANDS LÄN</t>
        </is>
      </c>
      <c r="G95" t="inlineStr">
        <is>
          <t>LILLA EDET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46257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46257</v>
      </c>
      <c r="F97" t="inlineStr">
        <is>
          <t>VÄSTRA GÖTALANDS LÄN</t>
        </is>
      </c>
      <c r="G97" t="inlineStr">
        <is>
          <t>LILLA EDET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46257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46257</v>
      </c>
      <c r="F99" t="inlineStr">
        <is>
          <t>VÄSTRA GÖTALANDS LÄN</t>
        </is>
      </c>
      <c r="G99" t="inlineStr">
        <is>
          <t>LILLA EDET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46257</v>
      </c>
      <c r="F100" t="inlineStr">
        <is>
          <t>VÄSTRA GÖTALANDS LÄN</t>
        </is>
      </c>
      <c r="G100" t="inlineStr">
        <is>
          <t>LILLA EDET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46257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46257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46257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46257</v>
      </c>
      <c r="F104" t="inlineStr">
        <is>
          <t>VÄSTRA GÖTALANDS LÄN</t>
        </is>
      </c>
      <c r="G104" t="inlineStr">
        <is>
          <t>LILLA EDET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45480</v>
      </c>
      <c r="E105" s="1" t="n">
        <v>46257</v>
      </c>
      <c r="F105" t="inlineStr">
        <is>
          <t>VÄSTRA GÖTALANDS LÄN</t>
        </is>
      </c>
      <c r="G105" t="inlineStr">
        <is>
          <t>LILLA EDET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44915</v>
      </c>
      <c r="E106" s="1" t="n">
        <v>46257</v>
      </c>
      <c r="F106" t="inlineStr">
        <is>
          <t>VÄSTRA GÖTALANDS LÄN</t>
        </is>
      </c>
      <c r="G106" t="inlineStr">
        <is>
          <t>LILLA EDET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12760-2023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46257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46257</v>
      </c>
      <c r="F108" t="inlineStr">
        <is>
          <t>VÄSTRA GÖTALANDS LÄN</t>
        </is>
      </c>
      <c r="G108" t="inlineStr">
        <is>
          <t>LILLA EDET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46257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46257</v>
      </c>
      <c r="F110" t="inlineStr">
        <is>
          <t>VÄSTRA GÖTALANDS LÄN</t>
        </is>
      </c>
      <c r="G110" t="inlineStr">
        <is>
          <t>LILLA EDET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46257</v>
      </c>
      <c r="F111" t="inlineStr">
        <is>
          <t>VÄSTRA GÖTALANDS LÄN</t>
        </is>
      </c>
      <c r="G111" t="inlineStr">
        <is>
          <t>LILLA EDET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46257</v>
      </c>
      <c r="F112" t="inlineStr">
        <is>
          <t>VÄSTRA GÖTALANDS LÄN</t>
        </is>
      </c>
      <c r="G112" t="inlineStr">
        <is>
          <t>LILLA EDET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46257</v>
      </c>
      <c r="F113" t="inlineStr">
        <is>
          <t>VÄSTRA GÖTALANDS LÄN</t>
        </is>
      </c>
      <c r="G113" t="inlineStr">
        <is>
          <t>LILLA EDET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46257</v>
      </c>
      <c r="F114" t="inlineStr">
        <is>
          <t>VÄSTRA GÖTALANDS LÄN</t>
        </is>
      </c>
      <c r="G114" t="inlineStr">
        <is>
          <t>LILLA EDET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46257</v>
      </c>
      <c r="F115" t="inlineStr">
        <is>
          <t>VÄSTRA GÖTALANDS LÄN</t>
        </is>
      </c>
      <c r="G115" t="inlineStr">
        <is>
          <t>LILLA EDET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65619-2021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46257</v>
      </c>
      <c r="F116" t="inlineStr">
        <is>
          <t>VÄSTRA GÖTALANDS LÄN</t>
        </is>
      </c>
      <c r="G116" t="inlineStr">
        <is>
          <t>LILLA EDET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44883</v>
      </c>
      <c r="E117" s="1" t="n">
        <v>46257</v>
      </c>
      <c r="F117" t="inlineStr">
        <is>
          <t>VÄSTRA GÖTALANDS LÄN</t>
        </is>
      </c>
      <c r="G117" t="inlineStr">
        <is>
          <t>LILLA EDET</t>
        </is>
      </c>
      <c r="I117" t="n">
        <v>22.6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46257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46257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45860</v>
      </c>
      <c r="E120" s="1" t="n">
        <v>46257</v>
      </c>
      <c r="F120" t="inlineStr">
        <is>
          <t>VÄSTRA GÖTALANDS LÄN</t>
        </is>
      </c>
      <c r="G120" t="inlineStr">
        <is>
          <t>LILLA EDET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45225</v>
      </c>
      <c r="E121" s="1" t="n">
        <v>46257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46257</v>
      </c>
      <c r="F122" t="inlineStr">
        <is>
          <t>VÄSTRA GÖTALANDS LÄN</t>
        </is>
      </c>
      <c r="G122" t="inlineStr">
        <is>
          <t>LILLA EDET</t>
        </is>
      </c>
      <c r="I122" t="n">
        <v>11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46257</v>
      </c>
      <c r="F123" t="inlineStr">
        <is>
          <t>VÄSTRA GÖTALANDS LÄN</t>
        </is>
      </c>
      <c r="G123" t="inlineStr">
        <is>
          <t>LILLA EDET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46257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46257</v>
      </c>
      <c r="F125" t="inlineStr">
        <is>
          <t>VÄSTRA GÖTALANDS LÄN</t>
        </is>
      </c>
      <c r="G125" t="inlineStr">
        <is>
          <t>LILLA EDET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46257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44662</v>
      </c>
      <c r="E127" s="1" t="n">
        <v>46257</v>
      </c>
      <c r="F127" t="inlineStr">
        <is>
          <t>VÄSTRA GÖTALANDS LÄN</t>
        </is>
      </c>
      <c r="G127" t="inlineStr">
        <is>
          <t>LILLA EDET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45442</v>
      </c>
      <c r="E128" s="1" t="n">
        <v>46257</v>
      </c>
      <c r="F128" t="inlineStr">
        <is>
          <t>VÄSTRA GÖTALANDS LÄN</t>
        </is>
      </c>
      <c r="G128" t="inlineStr">
        <is>
          <t>LILLA EDET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46257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46257</v>
      </c>
      <c r="F130" t="inlineStr">
        <is>
          <t>VÄSTRA GÖTALANDS LÄN</t>
        </is>
      </c>
      <c r="G130" t="inlineStr">
        <is>
          <t>LILLA EDET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46257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46257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46257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46257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46257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46257</v>
      </c>
      <c r="F136" t="inlineStr">
        <is>
          <t>VÄSTRA GÖTALANDS LÄN</t>
        </is>
      </c>
      <c r="G136" t="inlineStr">
        <is>
          <t>LILLA EDET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46257</v>
      </c>
      <c r="F137" t="inlineStr">
        <is>
          <t>VÄSTRA GÖTALANDS LÄN</t>
        </is>
      </c>
      <c r="G137" t="inlineStr">
        <is>
          <t>LILLA EDET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46257</v>
      </c>
      <c r="F138" t="inlineStr">
        <is>
          <t>VÄSTRA GÖTALANDS LÄN</t>
        </is>
      </c>
      <c r="G138" t="inlineStr">
        <is>
          <t>LILLA EDET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46257</v>
      </c>
      <c r="F139" t="inlineStr">
        <is>
          <t>VÄSTRA GÖTALANDS LÄN</t>
        </is>
      </c>
      <c r="G139" t="inlineStr">
        <is>
          <t>LILLA EDET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46257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46257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46257</v>
      </c>
      <c r="F142" t="inlineStr">
        <is>
          <t>VÄSTRA GÖTALANDS LÄN</t>
        </is>
      </c>
      <c r="G142" t="inlineStr">
        <is>
          <t>LILLA EDET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46242</v>
      </c>
      <c r="E143" s="1" t="n">
        <v>46257</v>
      </c>
      <c r="F143" t="inlineStr">
        <is>
          <t>VÄSTRA GÖTALANDS LÄN</t>
        </is>
      </c>
      <c r="G143" t="inlineStr">
        <is>
          <t>LILLA EDET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46257</v>
      </c>
      <c r="F144" t="inlineStr">
        <is>
          <t>VÄSTRA GÖTALANDS LÄN</t>
        </is>
      </c>
      <c r="G144" t="inlineStr">
        <is>
          <t>LILLA EDET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46257</v>
      </c>
      <c r="F145" t="inlineStr">
        <is>
          <t>VÄSTRA GÖTALANDS LÄN</t>
        </is>
      </c>
      <c r="G145" t="inlineStr">
        <is>
          <t>LILLA EDET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46257</v>
      </c>
      <c r="F146" t="inlineStr">
        <is>
          <t>VÄSTRA GÖTALANDS LÄN</t>
        </is>
      </c>
      <c r="G146" t="inlineStr">
        <is>
          <t>LILLA EDET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45766</v>
      </c>
      <c r="E147" s="1" t="n">
        <v>46257</v>
      </c>
      <c r="F147" t="inlineStr">
        <is>
          <t>VÄSTRA GÖTALANDS LÄN</t>
        </is>
      </c>
      <c r="G147" t="inlineStr">
        <is>
          <t>LILLA EDET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46257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45653</v>
      </c>
      <c r="E149" s="1" t="n">
        <v>46257</v>
      </c>
      <c r="F149" t="inlineStr">
        <is>
          <t>VÄSTRA GÖTALANDS LÄN</t>
        </is>
      </c>
      <c r="G149" t="inlineStr">
        <is>
          <t>LILLA EDET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46257</v>
      </c>
      <c r="F150" t="inlineStr">
        <is>
          <t>VÄSTRA GÖTALANDS LÄN</t>
        </is>
      </c>
      <c r="G150" t="inlineStr">
        <is>
          <t>LILLA EDET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46257</v>
      </c>
      <c r="F151" t="inlineStr">
        <is>
          <t>VÄSTRA GÖTALANDS LÄN</t>
        </is>
      </c>
      <c r="G151" t="inlineStr">
        <is>
          <t>LILLA EDET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46257</v>
      </c>
      <c r="F152" t="inlineStr">
        <is>
          <t>VÄSTRA GÖTALANDS LÄN</t>
        </is>
      </c>
      <c r="G152" t="inlineStr">
        <is>
          <t>LILLA EDET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46257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46257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46257</v>
      </c>
      <c r="F155" t="inlineStr">
        <is>
          <t>VÄSTRA GÖTALANDS LÄN</t>
        </is>
      </c>
      <c r="G155" t="inlineStr">
        <is>
          <t>LILLA EDET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46257</v>
      </c>
      <c r="F156" t="inlineStr">
        <is>
          <t>VÄSTRA GÖTALANDS LÄN</t>
        </is>
      </c>
      <c r="G156" t="inlineStr">
        <is>
          <t>LILLA EDET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46257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45158</v>
      </c>
      <c r="E158" s="1" t="n">
        <v>46257</v>
      </c>
      <c r="F158" t="inlineStr">
        <is>
          <t>VÄSTRA GÖTALANDS LÄN</t>
        </is>
      </c>
      <c r="G158" t="inlineStr">
        <is>
          <t>LILLA EDET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45158</v>
      </c>
      <c r="E159" s="1" t="n">
        <v>46257</v>
      </c>
      <c r="F159" t="inlineStr">
        <is>
          <t>VÄSTRA GÖTALANDS LÄN</t>
        </is>
      </c>
      <c r="G159" t="inlineStr">
        <is>
          <t>LILLA EDET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46257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46257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46257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45213</v>
      </c>
      <c r="E163" s="1" t="n">
        <v>46257</v>
      </c>
      <c r="F163" t="inlineStr">
        <is>
          <t>VÄSTRA GÖTALANDS LÄN</t>
        </is>
      </c>
      <c r="G163" t="inlineStr">
        <is>
          <t>LILLA EDET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46257</v>
      </c>
      <c r="F164" t="inlineStr">
        <is>
          <t>VÄSTRA GÖTALANDS LÄN</t>
        </is>
      </c>
      <c r="G164" t="inlineStr">
        <is>
          <t>LILLA EDET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46257</v>
      </c>
      <c r="F165" t="inlineStr">
        <is>
          <t>VÄSTRA GÖTALANDS LÄN</t>
        </is>
      </c>
      <c r="G165" t="inlineStr">
        <is>
          <t>LILLA EDET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46257</v>
      </c>
      <c r="F166" t="inlineStr">
        <is>
          <t>VÄSTRA GÖTALANDS LÄN</t>
        </is>
      </c>
      <c r="G166" t="inlineStr">
        <is>
          <t>LILLA EDET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46257</v>
      </c>
      <c r="F167" t="inlineStr">
        <is>
          <t>VÄSTRA GÖTALANDS LÄN</t>
        </is>
      </c>
      <c r="G167" t="inlineStr">
        <is>
          <t>LILLA EDET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46257</v>
      </c>
      <c r="F168" t="inlineStr">
        <is>
          <t>VÄSTRA GÖTALANDS LÄN</t>
        </is>
      </c>
      <c r="G168" t="inlineStr">
        <is>
          <t>LILLA EDET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46257</v>
      </c>
      <c r="F169" t="inlineStr">
        <is>
          <t>VÄSTRA GÖTALANDS LÄN</t>
        </is>
      </c>
      <c r="G169" t="inlineStr">
        <is>
          <t>LILLA EDET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46257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23541-2026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46163</v>
      </c>
      <c r="E171" s="1" t="n">
        <v>46257</v>
      </c>
      <c r="F171" t="inlineStr">
        <is>
          <t>VÄSTRA GÖTALANDS LÄN</t>
        </is>
      </c>
      <c r="G171" t="inlineStr">
        <is>
          <t>LILLA EDET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46257</v>
      </c>
      <c r="F172" t="inlineStr">
        <is>
          <t>VÄSTRA GÖTALANDS LÄN</t>
        </is>
      </c>
      <c r="G172" t="inlineStr">
        <is>
          <t>LILLA EDET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46257</v>
      </c>
      <c r="F173" t="inlineStr">
        <is>
          <t>VÄSTRA GÖTALANDS LÄN</t>
        </is>
      </c>
      <c r="G173" t="inlineStr">
        <is>
          <t>LILLA EDET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30724-2024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45496</v>
      </c>
      <c r="E174" s="1" t="n">
        <v>46257</v>
      </c>
      <c r="F174" t="inlineStr">
        <is>
          <t>VÄSTRA GÖTALANDS LÄN</t>
        </is>
      </c>
      <c r="G174" t="inlineStr">
        <is>
          <t>LILLA EDET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46257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46257</v>
      </c>
      <c r="F176" t="inlineStr">
        <is>
          <t>VÄSTRA GÖTALANDS LÄN</t>
        </is>
      </c>
      <c r="G176" t="inlineStr">
        <is>
          <t>LILLA EDET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46257</v>
      </c>
      <c r="F177" t="inlineStr">
        <is>
          <t>VÄSTRA GÖTALANDS LÄN</t>
        </is>
      </c>
      <c r="G177" t="inlineStr">
        <is>
          <t>LILLA EDET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24053-2025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45796</v>
      </c>
      <c r="E178" s="1" t="n">
        <v>46257</v>
      </c>
      <c r="F178" t="inlineStr">
        <is>
          <t>VÄSTRA GÖTALANDS LÄN</t>
        </is>
      </c>
      <c r="G178" t="inlineStr">
        <is>
          <t>LILLA EDET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46257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2026-08-23T01:52:23Z</dcterms:created>
  <dcterms:modified xmlns:dcterms="http://purl.org/dc/terms/" xmlns:xsi="http://www.w3.org/2001/XMLSchema-instance" xsi:type="dcterms:W3CDTF">2026-08-23T01:52:23Z</dcterms:modified>
</cp:coreProperties>
</file>