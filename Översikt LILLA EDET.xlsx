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46229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46229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46229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46229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46229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46229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46229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46229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46229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46229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46229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46229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46229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46229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46229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46229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46229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46229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46229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46229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46229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46229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46229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45941-2025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45924</v>
      </c>
      <c r="E30" s="1" t="n">
        <v>46229</v>
      </c>
      <c r="F30" t="inlineStr">
        <is>
          <t>VÄSTRA GÖTALANDS LÄN</t>
        </is>
      </c>
      <c r="G30" t="inlineStr">
        <is>
          <t>LILLA EDET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HYPERLINK("https://klasma.github.io/Logging_1462/artfynd/A 45941-2025 artfynd.xlsx", "A 45941-2025")</f>
        <v/>
      </c>
      <c r="X30">
        <f>HYPERLINK("https://klasma.github.io/Logging_1462/kartor/A 45941-2025 karta.png", "A 45941-2025")</f>
        <v/>
      </c>
      <c r="Y30">
        <f>HYPERLINK("https://klasma.github.io/Logging_1462/kartor_geotiff/A 45941-2025 georefererad karta.tif", "A 45941-2025")</f>
        <v/>
      </c>
      <c r="AA30">
        <f>HYPERLINK("https://klasma.github.io/Logging_1462/klagomål/A 45941-2025 FSC-klagomål.docx", "A 45941-2025")</f>
        <v/>
      </c>
      <c r="AB30">
        <f>HYPERLINK("https://klasma.github.io/Logging_1462/klagomålsmail/A 45941-2025 FSC-klagomål mail.docx", "A 45941-2025")</f>
        <v/>
      </c>
      <c r="AC30">
        <f>HYPERLINK("https://klasma.github.io/Logging_1462/tillsyn/A 45941-2025 tillsynsbegäran.docx", "A 45941-2025")</f>
        <v/>
      </c>
      <c r="AD30">
        <f>HYPERLINK("https://klasma.github.io/Logging_1462/tillsynsmail/A 45941-2025 tillsynsbegäran mail.docx", "A 45941-2025")</f>
        <v/>
      </c>
    </row>
    <row r="31" ht="15" customHeight="1">
      <c r="A31" t="inlineStr">
        <is>
          <t>A 7062-2024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45343</v>
      </c>
      <c r="E31" s="1" t="n">
        <v>46229</v>
      </c>
      <c r="F31" t="inlineStr">
        <is>
          <t>VÄSTRA GÖTALANDS LÄN</t>
        </is>
      </c>
      <c r="G31" t="inlineStr">
        <is>
          <t>LILLA EDET</t>
        </is>
      </c>
      <c r="I31" t="n">
        <v>9.1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HYPERLINK("https://klasma.github.io/Logging_1462/artfynd/A 7062-2024 artfynd.xlsx", "A 7062-2024")</f>
        <v/>
      </c>
      <c r="X31">
        <f>HYPERLINK("https://klasma.github.io/Logging_1462/kartor/A 7062-2024 karta.png", "A 7062-2024")</f>
        <v/>
      </c>
      <c r="Y31">
        <f>HYPERLINK("https://klasma.github.io/Logging_1462/kartor_geotiff/A 7062-2024 georefererad karta.tif", "A 7062-2024")</f>
        <v/>
      </c>
      <c r="AA31">
        <f>HYPERLINK("https://klasma.github.io/Logging_1462/klagomål/A 7062-2024 FSC-klagomål.docx", "A 7062-2024")</f>
        <v/>
      </c>
      <c r="AB31">
        <f>HYPERLINK("https://klasma.github.io/Logging_1462/klagomålsmail/A 7062-2024 FSC-klagomål mail.docx", "A 7062-2024")</f>
        <v/>
      </c>
      <c r="AC31">
        <f>HYPERLINK("https://klasma.github.io/Logging_1462/tillsyn/A 7062-2024 tillsynsbegäran.docx", "A 7062-2024")</f>
        <v/>
      </c>
      <c r="AD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46229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46229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46229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46229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46229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46229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46229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46229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46229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46229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46229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46229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46229</v>
      </c>
      <c r="F53" t="inlineStr">
        <is>
          <t>VÄSTRA GÖTALANDS LÄN</t>
        </is>
      </c>
      <c r="G53" t="inlineStr">
        <is>
          <t>LILLA EDET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46229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46229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46229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46229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46229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46229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45646</v>
      </c>
      <c r="E60" s="1" t="n">
        <v>46229</v>
      </c>
      <c r="F60" t="inlineStr">
        <is>
          <t>VÄSTRA GÖTALANDS LÄN</t>
        </is>
      </c>
      <c r="G60" t="inlineStr">
        <is>
          <t>LILLA EDET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46229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46229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46229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46229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46229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46229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45000</v>
      </c>
      <c r="E67" s="1" t="n">
        <v>46229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46229</v>
      </c>
      <c r="F68" t="inlineStr">
        <is>
          <t>VÄSTRA GÖTALANDS LÄN</t>
        </is>
      </c>
      <c r="G68" t="inlineStr">
        <is>
          <t>LILLA EDET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46229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46229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46229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45766</v>
      </c>
      <c r="E72" s="1" t="n">
        <v>46229</v>
      </c>
      <c r="F72" t="inlineStr">
        <is>
          <t>VÄSTRA GÖTALANDS LÄN</t>
        </is>
      </c>
      <c r="G72" t="inlineStr">
        <is>
          <t>LILLA EDET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46229</v>
      </c>
      <c r="F73" t="inlineStr">
        <is>
          <t>VÄSTRA GÖTALANDS LÄN</t>
        </is>
      </c>
      <c r="G73" t="inlineStr">
        <is>
          <t>LILLA EDET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46229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46229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46229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46229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46229</v>
      </c>
      <c r="F78" t="inlineStr">
        <is>
          <t>VÄSTRA GÖTALANDS LÄN</t>
        </is>
      </c>
      <c r="G78" t="inlineStr">
        <is>
          <t>LILLA EDET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46229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46229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46229</v>
      </c>
      <c r="F81" t="inlineStr">
        <is>
          <t>VÄSTRA GÖTALANDS LÄN</t>
        </is>
      </c>
      <c r="G81" t="inlineStr">
        <is>
          <t>LILLA EDET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46229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46229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46229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46229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46229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46229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46229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46229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46001</v>
      </c>
      <c r="E90" s="1" t="n">
        <v>46229</v>
      </c>
      <c r="F90" t="inlineStr">
        <is>
          <t>VÄSTRA GÖTALANDS LÄN</t>
        </is>
      </c>
      <c r="G90" t="inlineStr">
        <is>
          <t>LILLA EDET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45006</v>
      </c>
      <c r="E91" s="1" t="n">
        <v>46229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Kommuner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46229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46229</v>
      </c>
      <c r="F93" t="inlineStr">
        <is>
          <t>VÄSTRA GÖTALANDS LÄN</t>
        </is>
      </c>
      <c r="G93" t="inlineStr">
        <is>
          <t>LILLA EDET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46229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46229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46229</v>
      </c>
      <c r="F96" t="inlineStr">
        <is>
          <t>VÄSTRA GÖTALANDS LÄN</t>
        </is>
      </c>
      <c r="G96" t="inlineStr">
        <is>
          <t>LILLA EDET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46229</v>
      </c>
      <c r="F97" t="inlineStr">
        <is>
          <t>VÄSTRA GÖTALANDS LÄN</t>
        </is>
      </c>
      <c r="G97" t="inlineStr">
        <is>
          <t>LILLA EDET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46229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46229</v>
      </c>
      <c r="F99" t="inlineStr">
        <is>
          <t>VÄSTRA GÖTALANDS LÄN</t>
        </is>
      </c>
      <c r="G99" t="inlineStr">
        <is>
          <t>LILLA EDET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46229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46229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46229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57754-2023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46229</v>
      </c>
      <c r="F103" t="inlineStr">
        <is>
          <t>VÄSTRA GÖTALANDS LÄN</t>
        </is>
      </c>
      <c r="G103" t="inlineStr">
        <is>
          <t>LILLA EDET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46229</v>
      </c>
      <c r="F104" t="inlineStr">
        <is>
          <t>VÄSTRA GÖTALANDS LÄN</t>
        </is>
      </c>
      <c r="G104" t="inlineStr">
        <is>
          <t>LILLA EDET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46229</v>
      </c>
      <c r="F105" t="inlineStr">
        <is>
          <t>VÄSTRA GÖTALANDS LÄN</t>
        </is>
      </c>
      <c r="G105" t="inlineStr">
        <is>
          <t>LILLA EDET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45295</v>
      </c>
      <c r="E106" s="1" t="n">
        <v>46229</v>
      </c>
      <c r="F106" t="inlineStr">
        <is>
          <t>VÄSTRA GÖTALANDS LÄN</t>
        </is>
      </c>
      <c r="G106" t="inlineStr">
        <is>
          <t>LILLA EDET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46229</v>
      </c>
      <c r="F107" t="inlineStr">
        <is>
          <t>VÄSTRA GÖTALANDS LÄN</t>
        </is>
      </c>
      <c r="G107" t="inlineStr">
        <is>
          <t>LILLA EDET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46229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46229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46229</v>
      </c>
      <c r="F110" t="inlineStr">
        <is>
          <t>VÄSTRA GÖTALANDS LÄN</t>
        </is>
      </c>
      <c r="G110" t="inlineStr">
        <is>
          <t>LILLA EDET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46229</v>
      </c>
      <c r="F111" t="inlineStr">
        <is>
          <t>VÄSTRA GÖTALANDS LÄN</t>
        </is>
      </c>
      <c r="G111" t="inlineStr">
        <is>
          <t>LILLA EDET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46190</v>
      </c>
      <c r="E112" s="1" t="n">
        <v>46229</v>
      </c>
      <c r="F112" t="inlineStr">
        <is>
          <t>VÄSTRA GÖTALANDS LÄN</t>
        </is>
      </c>
      <c r="G112" t="inlineStr">
        <is>
          <t>LILLA EDET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46229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46229</v>
      </c>
      <c r="F114" t="inlineStr">
        <is>
          <t>VÄSTRA GÖTALANDS LÄN</t>
        </is>
      </c>
      <c r="G114" t="inlineStr">
        <is>
          <t>LILLA EDET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46229</v>
      </c>
      <c r="F115" t="inlineStr">
        <is>
          <t>VÄSTRA GÖTALANDS LÄN</t>
        </is>
      </c>
      <c r="G115" t="inlineStr">
        <is>
          <t>LILLA EDET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46229</v>
      </c>
      <c r="F116" t="inlineStr">
        <is>
          <t>VÄSTRA GÖTALANDS LÄN</t>
        </is>
      </c>
      <c r="G116" t="inlineStr">
        <is>
          <t>LILLA EDET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46229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46229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46229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44915</v>
      </c>
      <c r="E120" s="1" t="n">
        <v>46229</v>
      </c>
      <c r="F120" t="inlineStr">
        <is>
          <t>VÄSTRA GÖTALANDS LÄN</t>
        </is>
      </c>
      <c r="G120" t="inlineStr">
        <is>
          <t>LILLA EDET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46229</v>
      </c>
      <c r="F121" t="inlineStr">
        <is>
          <t>VÄSTRA GÖTALANDS LÄN</t>
        </is>
      </c>
      <c r="G121" t="inlineStr">
        <is>
          <t>LILLA EDET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46229</v>
      </c>
      <c r="F122" t="inlineStr">
        <is>
          <t>VÄSTRA GÖTALANDS LÄN</t>
        </is>
      </c>
      <c r="G122" t="inlineStr">
        <is>
          <t>LILLA EDET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46229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46229</v>
      </c>
      <c r="F124" t="inlineStr">
        <is>
          <t>VÄSTRA GÖTALANDS LÄN</t>
        </is>
      </c>
      <c r="G124" t="inlineStr">
        <is>
          <t>LILLA EDET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46229</v>
      </c>
      <c r="F125" t="inlineStr">
        <is>
          <t>VÄSTRA GÖTALANDS LÄN</t>
        </is>
      </c>
      <c r="G125" t="inlineStr">
        <is>
          <t>LILLA EDET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44883</v>
      </c>
      <c r="E126" s="1" t="n">
        <v>46229</v>
      </c>
      <c r="F126" t="inlineStr">
        <is>
          <t>VÄSTRA GÖTALANDS LÄN</t>
        </is>
      </c>
      <c r="G126" t="inlineStr">
        <is>
          <t>LILLA EDET</t>
        </is>
      </c>
      <c r="I126" t="n">
        <v>22.6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46229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45225</v>
      </c>
      <c r="E128" s="1" t="n">
        <v>46229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46163</v>
      </c>
      <c r="E129" s="1" t="n">
        <v>46229</v>
      </c>
      <c r="F129" t="inlineStr">
        <is>
          <t>VÄSTRA GÖTALANDS LÄN</t>
        </is>
      </c>
      <c r="G129" t="inlineStr">
        <is>
          <t>LILLA EDET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45134</v>
      </c>
      <c r="E130" s="1" t="n">
        <v>46229</v>
      </c>
      <c r="F130" t="inlineStr">
        <is>
          <t>VÄSTRA GÖTALANDS LÄN</t>
        </is>
      </c>
      <c r="G130" t="inlineStr">
        <is>
          <t>LILLA EDET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46229</v>
      </c>
      <c r="F131" t="inlineStr">
        <is>
          <t>VÄSTRA GÖTALANDS LÄN</t>
        </is>
      </c>
      <c r="G131" t="inlineStr">
        <is>
          <t>LILLA EDET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46229</v>
      </c>
      <c r="F132" t="inlineStr">
        <is>
          <t>VÄSTRA GÖTALANDS LÄN</t>
        </is>
      </c>
      <c r="G132" t="inlineStr">
        <is>
          <t>LILLA EDET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46229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46229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46229</v>
      </c>
      <c r="F135" t="inlineStr">
        <is>
          <t>VÄSTRA GÖTALANDS LÄN</t>
        </is>
      </c>
      <c r="G135" t="inlineStr">
        <is>
          <t>LILLA EDET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46229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46210</v>
      </c>
      <c r="E137" s="1" t="n">
        <v>46229</v>
      </c>
      <c r="F137" t="inlineStr">
        <is>
          <t>VÄSTRA GÖTALANDS LÄN</t>
        </is>
      </c>
      <c r="G137" t="inlineStr">
        <is>
          <t>LILLA EDET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46229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46229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46229</v>
      </c>
      <c r="F140" t="inlineStr">
        <is>
          <t>VÄSTRA GÖTALANDS LÄN</t>
        </is>
      </c>
      <c r="G140" t="inlineStr">
        <is>
          <t>LILLA EDET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46229</v>
      </c>
      <c r="F141" t="inlineStr">
        <is>
          <t>VÄSTRA GÖTALANDS LÄN</t>
        </is>
      </c>
      <c r="G141" t="inlineStr">
        <is>
          <t>LILLA EDET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46229</v>
      </c>
      <c r="F142" t="inlineStr">
        <is>
          <t>VÄSTRA GÖTALANDS LÄN</t>
        </is>
      </c>
      <c r="G142" t="inlineStr">
        <is>
          <t>LILLA EDET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46229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46229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46229</v>
      </c>
      <c r="F145" t="inlineStr">
        <is>
          <t>VÄSTRA GÖTALANDS LÄN</t>
        </is>
      </c>
      <c r="G145" t="inlineStr">
        <is>
          <t>LILLA EDET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46229</v>
      </c>
      <c r="F146" t="inlineStr">
        <is>
          <t>VÄSTRA GÖTALANDS LÄN</t>
        </is>
      </c>
      <c r="G146" t="inlineStr">
        <is>
          <t>LILLA EDET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46229</v>
      </c>
      <c r="F147" t="inlineStr">
        <is>
          <t>VÄSTRA GÖTALANDS LÄN</t>
        </is>
      </c>
      <c r="G147" t="inlineStr">
        <is>
          <t>LILLA EDET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46229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46229</v>
      </c>
      <c r="F149" t="inlineStr">
        <is>
          <t>VÄSTRA GÖTALANDS LÄN</t>
        </is>
      </c>
      <c r="G149" t="inlineStr">
        <is>
          <t>LILLA EDET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45480</v>
      </c>
      <c r="E150" s="1" t="n">
        <v>46229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46229</v>
      </c>
      <c r="F151" t="inlineStr">
        <is>
          <t>VÄSTRA GÖTALANDS LÄN</t>
        </is>
      </c>
      <c r="G151" t="inlineStr">
        <is>
          <t>LILLA EDET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46229</v>
      </c>
      <c r="F152" t="inlineStr">
        <is>
          <t>VÄSTRA GÖTALANDS LÄN</t>
        </is>
      </c>
      <c r="G152" t="inlineStr">
        <is>
          <t>LILLA EDET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46229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46229</v>
      </c>
      <c r="F154" t="inlineStr">
        <is>
          <t>VÄSTRA GÖTALANDS LÄN</t>
        </is>
      </c>
      <c r="G154" t="inlineStr">
        <is>
          <t>LILLA EDET</t>
        </is>
      </c>
      <c r="I154" t="n">
        <v>16.4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45158</v>
      </c>
      <c r="E155" s="1" t="n">
        <v>46229</v>
      </c>
      <c r="F155" t="inlineStr">
        <is>
          <t>VÄSTRA GÖTALANDS LÄN</t>
        </is>
      </c>
      <c r="G155" t="inlineStr">
        <is>
          <t>LILLA EDET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45158</v>
      </c>
      <c r="E156" s="1" t="n">
        <v>46229</v>
      </c>
      <c r="F156" t="inlineStr">
        <is>
          <t>VÄSTRA GÖTALANDS LÄN</t>
        </is>
      </c>
      <c r="G156" t="inlineStr">
        <is>
          <t>LILLA EDET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46229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45213</v>
      </c>
      <c r="E158" s="1" t="n">
        <v>46229</v>
      </c>
      <c r="F158" t="inlineStr">
        <is>
          <t>VÄSTRA GÖTALANDS LÄN</t>
        </is>
      </c>
      <c r="G158" t="inlineStr">
        <is>
          <t>LILLA EDET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46229</v>
      </c>
      <c r="F159" t="inlineStr">
        <is>
          <t>VÄSTRA GÖTALANDS LÄN</t>
        </is>
      </c>
      <c r="G159" t="inlineStr">
        <is>
          <t>LILLA EDET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46229</v>
      </c>
      <c r="F160" t="inlineStr">
        <is>
          <t>VÄSTRA GÖTALANDS LÄN</t>
        </is>
      </c>
      <c r="G160" t="inlineStr">
        <is>
          <t>LILLA EDET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46229</v>
      </c>
      <c r="F161" t="inlineStr">
        <is>
          <t>VÄSTRA GÖTALANDS LÄN</t>
        </is>
      </c>
      <c r="G161" t="inlineStr">
        <is>
          <t>LILLA EDET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46229</v>
      </c>
      <c r="F162" t="inlineStr">
        <is>
          <t>VÄSTRA GÖTALANDS LÄN</t>
        </is>
      </c>
      <c r="G162" t="inlineStr">
        <is>
          <t>LILLA EDET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46229</v>
      </c>
      <c r="F163" t="inlineStr">
        <is>
          <t>VÄSTRA GÖTALANDS LÄN</t>
        </is>
      </c>
      <c r="G163" t="inlineStr">
        <is>
          <t>LILLA EDET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46229</v>
      </c>
      <c r="F164" t="inlineStr">
        <is>
          <t>VÄSTRA GÖTALANDS LÄN</t>
        </is>
      </c>
      <c r="G164" t="inlineStr">
        <is>
          <t>LILLA EDET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46229</v>
      </c>
      <c r="F165" t="inlineStr">
        <is>
          <t>VÄSTRA GÖTALANDS LÄN</t>
        </is>
      </c>
      <c r="G165" t="inlineStr">
        <is>
          <t>LILLA EDET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46229</v>
      </c>
      <c r="F166" t="inlineStr">
        <is>
          <t>VÄSTRA GÖTALANDS LÄN</t>
        </is>
      </c>
      <c r="G166" t="inlineStr">
        <is>
          <t>LILLA EDET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45496</v>
      </c>
      <c r="E167" s="1" t="n">
        <v>46229</v>
      </c>
      <c r="F167" t="inlineStr">
        <is>
          <t>VÄSTRA GÖTALANDS LÄN</t>
        </is>
      </c>
      <c r="G167" t="inlineStr">
        <is>
          <t>LILLA EDET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46229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46229</v>
      </c>
      <c r="F169" t="inlineStr">
        <is>
          <t>VÄSTRA GÖTALANDS LÄN</t>
        </is>
      </c>
      <c r="G169" t="inlineStr">
        <is>
          <t>LILLA EDET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46229</v>
      </c>
      <c r="F170" t="inlineStr">
        <is>
          <t>VÄSTRA GÖTALANDS LÄN</t>
        </is>
      </c>
      <c r="G170" t="inlineStr">
        <is>
          <t>LILLA EDET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24053-2025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45796</v>
      </c>
      <c r="E171" s="1" t="n">
        <v>46229</v>
      </c>
      <c r="F171" t="inlineStr">
        <is>
          <t>VÄSTRA GÖTALANDS LÄN</t>
        </is>
      </c>
      <c r="G171" t="inlineStr">
        <is>
          <t>LILLA EDET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46229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46229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46229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46229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46229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46229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46229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46229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46229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2026-07-26T01:50:47Z</dcterms:created>
  <dcterms:modified xmlns:dcterms="http://purl.org/dc/terms/" xmlns:xsi="http://www.w3.org/2001/XMLSchema-instance" xsi:type="dcterms:W3CDTF">2026-07-26T01:50:47Z</dcterms:modified>
</cp:coreProperties>
</file>